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ssessment Details" sheetId="1" state="visible" r:id="rId1"/>
    <sheet xmlns:r="http://schemas.openxmlformats.org/officeDocument/2006/relationships" name="Risk Assessmen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hodology" sheetId="4" state="visible" r:id="rId4"/>
    <sheet xmlns:r="http://schemas.openxmlformats.org/officeDocument/2006/relationships" name="Sources" sheetId="5" state="visible" r:id="rId5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16"/>
    </font>
    <font>
      <name val="Carlito"/>
      <b val="1"/>
      <color rgb="FF123B5D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5"/>
    </font>
    <font>
      <name val="Carlito"/>
      <sz val="11"/>
    </font>
  </fonts>
  <fills count="9">
    <fill>
      <patternFill/>
    </fill>
    <fill>
      <patternFill patternType="gray125"/>
    </fill>
    <fill>
      <patternFill patternType="solid">
        <fgColor rgb="FF123B5D"/>
      </patternFill>
    </fill>
    <fill>
      <patternFill patternType="solid">
        <fgColor rgb="FFDCE6F1"/>
      </patternFill>
    </fill>
    <fill>
      <patternFill patternType="solid">
        <fgColor rgb="FF1F6D8C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F4CCCC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2">
    <xf numFmtId="0" fontId="6" fillId="0" borderId="0"/>
    <xf numFmtId="0" fontId="6" fillId="0" borderId="0"/>
  </cellStyleXfs>
  <cellXfs count="18">
    <xf numFmtId="0" fontId="0" fillId="0" borderId="0" pivotButton="0" quotePrefix="0" xfId="0"/>
    <xf numFmtId="0" fontId="2" fillId="3" borderId="0" applyAlignment="1" pivotButton="0" quotePrefix="0" xfId="1">
      <alignment vertical="top" wrapText="1"/>
    </xf>
    <xf numFmtId="0" fontId="0" fillId="0" borderId="0" applyAlignment="1" pivotButton="0" quotePrefix="0" xfId="1">
      <alignment wrapText="1"/>
    </xf>
    <xf numFmtId="0" fontId="3" fillId="4" borderId="0" applyAlignment="1" pivotButton="0" quotePrefix="0" xfId="1">
      <alignment wrapText="1"/>
    </xf>
    <xf numFmtId="0" fontId="3" fillId="4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horizontal="center" wrapText="1"/>
    </xf>
    <xf numFmtId="9" fontId="0" fillId="0" borderId="0" applyAlignment="1" pivotButton="0" quotePrefix="0" xfId="1">
      <alignment wrapText="1"/>
    </xf>
    <xf numFmtId="3" fontId="0" fillId="0" borderId="0" applyAlignment="1" pivotButton="0" quotePrefix="0" xfId="1">
      <alignment wrapText="1"/>
    </xf>
    <xf numFmtId="0" fontId="4" fillId="0" borderId="0" applyAlignment="1" pivotButton="0" quotePrefix="0" xfId="1">
      <alignment horizontal="center"/>
    </xf>
    <xf numFmtId="0" fontId="0" fillId="5" borderId="0" applyAlignment="1" pivotButton="0" quotePrefix="0" xfId="1">
      <alignment horizontal="center" vertical="center" wrapText="1"/>
    </xf>
    <xf numFmtId="0" fontId="0" fillId="6" borderId="0" applyAlignment="1" pivotButton="0" quotePrefix="0" xfId="1">
      <alignment horizontal="center" vertical="center" wrapText="1"/>
    </xf>
    <xf numFmtId="0" fontId="0" fillId="7" borderId="0" applyAlignment="1" pivotButton="0" quotePrefix="0" xfId="1">
      <alignment horizontal="center" vertical="center" wrapText="1"/>
    </xf>
    <xf numFmtId="0" fontId="0" fillId="8" borderId="0" applyAlignment="1" pivotButton="0" quotePrefix="0" xfId="1">
      <alignment horizontal="center" vertical="center" wrapText="1"/>
    </xf>
    <xf numFmtId="0" fontId="1" fillId="2" borderId="0" applyAlignment="1" pivotButton="0" quotePrefix="0" xfId="1">
      <alignment horizontal="center" vertical="center"/>
    </xf>
    <xf numFmtId="0" fontId="1" fillId="2" borderId="0" applyAlignment="1" pivotButton="0" quotePrefix="0" xfId="1">
      <alignment horizontal="center"/>
    </xf>
    <xf numFmtId="0" fontId="3" fillId="2" borderId="0" applyAlignment="1" pivotButton="0" quotePrefix="0" xfId="1">
      <alignment horizontal="center"/>
    </xf>
    <xf numFmtId="0" fontId="5" fillId="2" borderId="0" applyAlignment="1" pivotButton="0" quotePrefix="0" xfId="1">
      <alignment horizontal="center" wrapText="1"/>
    </xf>
    <xf numFmtId="0" fontId="5" fillId="2" borderId="0" applyAlignment="1" pivotButton="0" quotePrefix="0" xfId="1">
      <alignment horizontal="center"/>
    </xf>
  </cellXfs>
  <cellStyles count="2">
    <cellStyle name="عادي" xfId="0" builtinId="0"/>
    <cellStyle name="Normal" xfId="1"/>
  </cellStyles>
  <dxfs count="8">
    <dxf>
      <font>
        <b val="1"/>
        <color rgb="FF274E13"/>
      </font>
      <fill>
        <patternFill patternType="solid">
          <bgColor rgb="FFD9EAD3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9C5700"/>
      </font>
      <fill>
        <patternFill patternType="solid">
          <bgColor rgb="FFFCE5CD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274E13"/>
      </font>
      <fill>
        <patternFill patternType="solid">
          <bgColor rgb="FFD9EAD3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9C5700"/>
      </font>
      <fill>
        <patternFill patternType="solid">
          <bgColor rgb="FFFCE5CD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vs Projected Residual Risk Levels</a:t>
            </a:r>
          </a:p>
        </rich>
      </tx>
      <overlay val="1"/>
    </title>
    <plotArea>
      <layout/>
      <barChart>
        <barDir val="col"/>
        <grouping val="clustered"/>
        <varyColors val="0"/>
        <ser>
          <idx val="0"/>
          <order val="0"/>
          <tx>
            <v>Current Count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Summary!$A$4:$A$7</f>
              <strCache>
                <ptCount val="4"/>
                <pt idx="0">
                  <v>Critical</v>
                </pt>
                <pt idx="1">
                  <v>High</v>
                </pt>
                <pt idx="2">
                  <v>Medium</v>
                </pt>
                <pt idx="3">
                  <v>Low</v>
                </pt>
              </strCache>
            </strRef>
          </cat>
          <val>
            <numRef>
              <f>Summary!$B$4:$B$7</f>
              <numCache>
                <formatCode>General</formatCode>
                <ptCount val="4"/>
                <pt idx="0">
                  <v>11</v>
                </pt>
                <pt idx="1">
                  <v>9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1"/>
          <order val="1"/>
          <tx>
            <v>Projected Residual Count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Summary!$A$4:$A$7</f>
              <strCache>
                <ptCount val="4"/>
                <pt idx="0">
                  <v>Critical</v>
                </pt>
                <pt idx="1">
                  <v>High</v>
                </pt>
                <pt idx="2">
                  <v>Medium</v>
                </pt>
                <pt idx="3">
                  <v>Low</v>
                </pt>
              </strCache>
            </strRef>
          </cat>
          <val>
            <numRef>
              <f>Summary!$C$4:$C$7</f>
              <numCache>
                <formatCode>General</formatCode>
                <ptCount val="4"/>
                <pt idx="0">
                  <v>0</v>
                </pt>
                <pt idx="1">
                  <v>0</v>
                </pt>
                <pt idx="2">
                  <v>18</v>
                </pt>
                <pt idx="3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8</col>
      <colOff>0</colOff>
      <row>2</row>
      <rowOff>0</rowOff>
    </from>
    <to>
      <col>16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:F1"/>
    </sheetView>
  </sheetViews>
  <sheetFormatPr baseColWidth="8" defaultRowHeight="13.8"/>
  <cols>
    <col width="28" customWidth="1" min="1" max="1"/>
    <col width="90" customWidth="1" min="2" max="2"/>
  </cols>
  <sheetData>
    <row r="1" ht="24" customHeight="1">
      <c r="A1" s="13" t="inlineStr">
        <is>
          <t>BANK ALFAQ DIGITAL — ASSET-BASED RISK ASSESSMENT &amp; TREATMENT REGISTER</t>
        </is>
      </c>
    </row>
    <row r="3">
      <c r="A3" s="1" t="inlineStr">
        <is>
          <t>Document Classification</t>
        </is>
      </c>
      <c r="B3" s="2" t="inlineStr">
        <is>
          <t>Internal</t>
        </is>
      </c>
    </row>
    <row r="4" ht="27.6" customHeight="1">
      <c r="A4" s="1" t="inlineStr">
        <is>
          <t>ISO/IEC 27001:2022 References</t>
        </is>
      </c>
      <c r="B4" s="2" t="inlineStr">
        <is>
          <t>Bank Alafaq Digital Information Security Risk Assessment and Treatment</t>
        </is>
      </c>
    </row>
    <row r="5">
      <c r="A5" s="1" t="inlineStr">
        <is>
          <t>Assessment Title</t>
        </is>
      </c>
      <c r="B5" s="2" t="inlineStr">
        <is>
          <t>Digital banking services, core banking systems, customer information, employee information, data centres, branches, ATMs, international banking operations and AWS environments used for non-critical development, testing and analytics.</t>
        </is>
      </c>
    </row>
    <row r="6" ht="27.6" customHeight="1">
      <c r="A6" s="1" t="inlineStr">
        <is>
          <t>Scope</t>
        </is>
      </c>
      <c r="B6" s="2" t="inlineStr">
        <is>
          <t>Bank Alafaq Digital environment implementing ISO/IEC 27001; focus on customer information, digital banking, core systems, employee information, physical banking estate and AWS services, with increasing external cyber threats and cloud-partner security uncertainty.</t>
        </is>
      </c>
    </row>
    <row r="7" ht="27.6" customHeight="1">
      <c r="A7" s="1" t="inlineStr">
        <is>
          <t>Context</t>
        </is>
      </c>
      <c r="B7" s="2" t="inlineStr">
        <is>
          <t>Bank Alafaq Digital environment; customer trust, applicable Saudi legal/regulatory obligations and cyber threats including ransomware, phishing, DDoS, supply-chain and insider threats.</t>
        </is>
      </c>
    </row>
    <row r="8">
      <c r="A8" s="1" t="inlineStr">
        <is>
          <t>Method</t>
        </is>
      </c>
      <c r="B8" s="2" t="inlineStr">
        <is>
          <t>5×5 likelihood-impact model. Risk Score = Likelihood × Impact.</t>
        </is>
      </c>
    </row>
    <row r="9">
      <c r="A9" s="1" t="inlineStr">
        <is>
          <t>Risk Appetite</t>
        </is>
      </c>
      <c r="B9" s="2" t="inlineStr">
        <is>
          <t>14 September 2026</t>
        </is>
      </c>
    </row>
    <row r="10">
      <c r="A10" s="1" t="inlineStr">
        <is>
          <t>Assessment Date</t>
        </is>
      </c>
      <c r="B10" s="2" t="inlineStr">
        <is>
          <t>14 September 2026</t>
        </is>
      </c>
    </row>
    <row r="11">
      <c r="A11" s="1" t="inlineStr">
        <is>
          <t>Version</t>
        </is>
      </c>
      <c r="B11" s="2" t="inlineStr">
        <is>
          <t>Version 1</t>
        </is>
      </c>
    </row>
    <row r="12">
      <c r="A12" s="1" t="inlineStr">
        <is>
          <t>Lead Risk Assessor</t>
        </is>
      </c>
      <c r="B12" s="2" t="inlineStr">
        <is>
          <t>Information Security Management</t>
        </is>
      </c>
    </row>
    <row r="13">
      <c r="A13" s="1" t="inlineStr">
        <is>
          <t>Assistant Risk Assessor</t>
        </is>
      </c>
      <c r="B13" s="2" t="inlineStr">
        <is>
          <t>Relevant business, IT, compliance, legal and service owners within Bank Alafaq Digital.</t>
        </is>
      </c>
    </row>
    <row r="14">
      <c r="A14" s="1" t="inlineStr">
        <is>
          <t>Consulted</t>
        </is>
      </c>
      <c r="B14" s="2" t="inlineStr">
        <is>
          <t>Top Management – Bank Alafaq Digital</t>
        </is>
      </c>
    </row>
    <row r="15">
      <c r="A15" s="1" t="inlineStr">
        <is>
          <t>Approved By</t>
        </is>
      </c>
      <c r="B15" s="2" t="inlineStr">
        <is>
          <t>Dr. Noura Al-Qahtani – Chief Executive Officer</t>
        </is>
      </c>
    </row>
    <row r="16">
      <c r="A16" s="1" t="inlineStr">
        <is>
          <t>Next Full Review</t>
        </is>
      </c>
      <c r="B16" s="2" t="inlineStr">
        <is>
          <t>12 September 2027; monthly review while Critical/High current risks remain untreated.</t>
        </is>
      </c>
    </row>
    <row r="17" ht="27.6" customHeight="1">
      <c r="A17" s="1" t="inlineStr">
        <is>
          <t>Important Assumption</t>
        </is>
      </c>
      <c r="B17" s="2" t="inlineStr">
        <is>
          <t>Residual risk values are projected and must not be treated as accepted until treatment implementation is evidenced and validated.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3.8"/>
  <cols>
    <col width="10" customWidth="1" min="1" max="1"/>
    <col width="20" customWidth="1" min="2" max="2"/>
    <col width="26" customWidth="1" min="3" max="3"/>
    <col width="28" customWidth="1" min="4" max="5"/>
    <col width="32" customWidth="1" min="6" max="6"/>
    <col width="22" customWidth="1" min="7" max="7"/>
    <col width="25" customWidth="1" min="8" max="8"/>
    <col width="34" customWidth="1" min="9" max="9"/>
    <col width="12" customWidth="1" min="10" max="10"/>
    <col width="34" customWidth="1" min="11" max="11"/>
    <col width="12" customWidth="1" min="12" max="12"/>
    <col width="34" customWidth="1" min="13" max="13"/>
    <col width="14" customWidth="1" min="14" max="15"/>
    <col width="18" customWidth="1" min="16" max="16"/>
    <col width="38" customWidth="1" min="17" max="17"/>
    <col width="28" customWidth="1" min="18" max="18"/>
    <col width="18" customWidth="1" min="19" max="19"/>
    <col width="24" customWidth="1" min="20" max="20"/>
    <col width="16" customWidth="1" min="21" max="21"/>
    <col width="12" customWidth="1" min="22" max="22"/>
    <col width="16" customWidth="1" min="23" max="24"/>
    <col width="34" customWidth="1" min="25" max="25"/>
    <col width="16" customWidth="1" min="26" max="26"/>
    <col width="34" customWidth="1" min="27" max="27"/>
    <col width="16" customWidth="1" min="28" max="29"/>
    <col width="42" customWidth="1" min="30" max="30"/>
    <col width="38" customWidth="1" min="31" max="31"/>
  </cols>
  <sheetData>
    <row r="1" ht="24" customHeight="1">
      <c r="A1" s="13" t="inlineStr">
        <is>
          <t>BANK ALFAQ DIGITAL — ASSET-BASED RISK ASSESSMENT AND TREATMENT REGISTER</t>
        </is>
      </c>
    </row>
    <row r="3" ht="33.6" customHeight="1">
      <c r="A3" s="4" t="inlineStr">
        <is>
          <t>Ref</t>
        </is>
      </c>
      <c r="B3" s="4" t="inlineStr">
        <is>
          <t>Asset Group</t>
        </is>
      </c>
      <c r="C3" s="4" t="inlineStr">
        <is>
          <t>Primary Asset Inventory Ref(s)</t>
        </is>
      </c>
      <c r="D3" s="4" t="inlineStr">
        <is>
          <t>Asset / Process</t>
        </is>
      </c>
      <c r="E3" s="4" t="inlineStr">
        <is>
          <t>Threat / Risk Event</t>
        </is>
      </c>
      <c r="F3" s="4" t="inlineStr">
        <is>
          <t>Vulnerability / Control Gap</t>
        </is>
      </c>
      <c r="G3" s="4" t="inlineStr">
        <is>
          <t>Risk Type</t>
        </is>
      </c>
      <c r="H3" s="4" t="inlineStr">
        <is>
          <t>Risk Owner</t>
        </is>
      </c>
      <c r="I3" s="4" t="inlineStr">
        <is>
          <t>Existing Controls</t>
        </is>
      </c>
      <c r="J3" s="4" t="inlineStr">
        <is>
          <t>Likelihood (1-5)</t>
        </is>
      </c>
      <c r="K3" s="4" t="inlineStr">
        <is>
          <t>Likelihood Rationale</t>
        </is>
      </c>
      <c r="L3" s="4" t="inlineStr">
        <is>
          <t>Impact (1-5)</t>
        </is>
      </c>
      <c r="M3" s="4" t="inlineStr">
        <is>
          <t>Impact Rationale</t>
        </is>
      </c>
      <c r="N3" s="4" t="inlineStr">
        <is>
          <t>Current Risk Score</t>
        </is>
      </c>
      <c r="O3" s="4" t="inlineStr">
        <is>
          <t>Current Risk Level</t>
        </is>
      </c>
      <c r="P3" s="4" t="inlineStr">
        <is>
          <t>Treatment Option</t>
        </is>
      </c>
      <c r="Q3" s="4" t="inlineStr">
        <is>
          <t>Proposed Treatment Action</t>
        </is>
      </c>
      <c r="R3" s="4" t="inlineStr">
        <is>
          <t>Annex A / Control Reference</t>
        </is>
      </c>
      <c r="S3" s="4" t="inlineStr">
        <is>
          <t>Planning Cost Estimate (SAR)</t>
        </is>
      </c>
      <c r="T3" s="4" t="inlineStr">
        <is>
          <t>Treatment Action Owner</t>
        </is>
      </c>
      <c r="U3" s="4" t="inlineStr">
        <is>
          <t>Target Date</t>
        </is>
      </c>
      <c r="V3" s="4" t="inlineStr">
        <is>
          <t>Progress</t>
        </is>
      </c>
      <c r="W3" s="4" t="inlineStr">
        <is>
          <t>Treatment Status</t>
        </is>
      </c>
      <c r="X3" s="4" t="inlineStr">
        <is>
          <t>Residual Likelihood (1-5)</t>
        </is>
      </c>
      <c r="Y3" s="4" t="inlineStr">
        <is>
          <t>Residual Likelihood Rationale</t>
        </is>
      </c>
      <c r="Z3" s="4" t="inlineStr">
        <is>
          <t>Residual Impact (1-5)</t>
        </is>
      </c>
      <c r="AA3" s="4" t="inlineStr">
        <is>
          <t>Residual Impact Rationale</t>
        </is>
      </c>
      <c r="AB3" s="4" t="inlineStr">
        <is>
          <t>Residual Risk Score</t>
        </is>
      </c>
      <c r="AC3" s="4" t="inlineStr">
        <is>
          <t>Residual Risk Level</t>
        </is>
      </c>
      <c r="AD3" s="4" t="inlineStr">
        <is>
          <t>Evidence / Source Basis</t>
        </is>
      </c>
      <c r="AE3" s="4" t="inlineStr">
        <is>
          <t>Comments</t>
        </is>
      </c>
    </row>
    <row r="4" ht="41.4" customHeight="1">
      <c r="A4" s="2" t="inlineStr">
        <is>
          <t>R-001</t>
        </is>
      </c>
      <c r="B4" s="2" t="inlineStr">
        <is>
          <t>Information Systems</t>
        </is>
      </c>
      <c r="C4" s="2" t="inlineStr">
        <is>
          <t>معلومات العملاء</t>
        </is>
      </c>
      <c r="D4" s="2" t="inlineStr">
        <is>
          <t>معلومات العملاء</t>
        </is>
      </c>
      <c r="E4" s="2" t="inlineStr">
        <is>
          <t>التصيد والبرمجيات الخبيثة والوصول غير المصرح</t>
        </is>
      </c>
      <c r="F4" s="2" t="inlineStr">
        <is>
          <t>تزايد التهديدات السيبرانية وثغرات تطبيقات الخدمات المصرفية الرقمية</t>
        </is>
      </c>
      <c r="G4" s="2" t="inlineStr">
        <is>
          <t>Confidentiality, Integrity and Availability</t>
        </is>
      </c>
      <c r="H4" s="2" t="inlineStr">
        <is>
          <t>إدارة أمن المعلومات</t>
        </is>
      </c>
      <c r="I4" s="2" t="inlineStr">
        <is>
          <t>بوابة البريد الآمن، نظام كشف الاحتيال، إدارة الهوية والوصول، المراقبة الأمنية والاستجابة للحوادث</t>
        </is>
      </c>
      <c r="J4" s="5" t="n">
        <v>4</v>
      </c>
      <c r="K4" s="2" t="inlineStr">
        <is>
          <t>استهدفت هجمات التصيد موظفي الإدارة المالية، كما حددت الدراسة تهديدات الفدية وحجب الخدمة وسلسلة التوريد والتهديدات الداخلية</t>
        </is>
      </c>
      <c r="L4" s="5" t="n">
        <v>5</v>
      </c>
      <c r="M4" s="2" t="inlineStr">
        <is>
          <t>خسائر مالية وتسريب بيانات وعقوبات تنظيمية وضرر بسمعة البنك</t>
        </is>
      </c>
      <c r="N4" s="5">
        <f>J4*L4</f>
        <v/>
      </c>
      <c r="O4" s="5">
        <f>IF(N4&gt;=16,"Critical",IF(N4&gt;=11,"High",IF(N4&gt;=5,"Medium","Low")))</f>
        <v/>
      </c>
      <c r="P4" s="2" t="inlineStr">
        <is>
          <t>Modify</t>
        </is>
      </c>
      <c r="Q4" s="2" t="inlineStr">
        <is>
          <t>تعزيز التوعية، التحقق من التحويلات، المصادقة متعددة العوامل، تحليل معلومات التهديدات ومراجعة الصلاحيات</t>
        </is>
      </c>
      <c r="R4" s="2" t="inlineStr">
        <is>
          <t>A.5.10, A.5.15, A.5.16, A.5.17, A.8.5, A.8.15</t>
        </is>
      </c>
      <c r="S4" s="7" t="n">
        <v>150000</v>
      </c>
      <c r="T4" s="2" t="inlineStr">
        <is>
          <t>إدارة أمن المعلومات</t>
        </is>
      </c>
      <c r="U4" s="2" t="inlineStr">
        <is>
          <t>أثناء تطبيق نظام إدارة أمن المعلومات</t>
        </is>
      </c>
      <c r="V4" s="6" t="inlineStr">
        <is>
          <t>0%</t>
        </is>
      </c>
      <c r="W4" s="2" t="inlineStr">
        <is>
          <t>Open</t>
        </is>
      </c>
      <c r="X4" s="5" t="n">
        <v>2</v>
      </c>
      <c r="Y4" s="2" t="inlineStr">
        <is>
          <t>الضوابط المقترحة تقلل احتمال الحدوث مع بقاء أثر الحادث مرتفعاً</t>
        </is>
      </c>
      <c r="Z4" s="5" t="n">
        <v>5</v>
      </c>
      <c r="AA4" s="5" t="inlineStr">
        <is>
          <t>قد يبقى الأثر المالي والتنظيمي والسمعة مرتفعاً عند تحقق الاختراق</t>
        </is>
      </c>
      <c r="AB4" s="5">
        <f>X4*Z4</f>
        <v/>
      </c>
      <c r="AC4" s="5">
        <f>IF(AB4&gt;=16,"Critical",IF(AB4&gt;=11,"High",IF(AB4&gt;=5,"Medium","Low")))</f>
        <v/>
      </c>
      <c r="AD4" s="2" t="inlineStr">
        <is>
          <t>خطر مستند إلى هجمات التصيد وبيانات العملاء الواردة في دراسة بنك الآفاق</t>
        </is>
      </c>
      <c r="AE4" s="2" t="inlineStr">
        <is>
          <t>Treatment evidence should be collected and reviewed before residual-risk acceptance.</t>
        </is>
      </c>
    </row>
    <row r="5" ht="41.4" customHeight="1">
      <c r="A5" s="2" t="inlineStr">
        <is>
          <t>R-002</t>
        </is>
      </c>
      <c r="B5" s="2" t="inlineStr">
        <is>
          <t>Core technology</t>
        </is>
      </c>
      <c r="C5" s="2" t="inlineStr">
        <is>
          <t>Asset Inventory Ref 2 — Core banking systems / data centres</t>
        </is>
      </c>
      <c r="D5" s="2" t="inlineStr">
        <is>
          <t>Core banking, VMware, storage and backups</t>
        </is>
      </c>
      <c r="E5" s="2" t="inlineStr">
        <is>
          <t>Ransomware</t>
        </is>
      </c>
      <c r="F5" s="2" t="inlineStr">
        <is>
          <t>Broad enterprise exposure and recoverability not fully evidenced</t>
        </is>
      </c>
      <c r="G5" s="2" t="inlineStr">
        <is>
          <t>Confidentiality, Integrity, Availability</t>
        </is>
      </c>
      <c r="H5" s="2" t="inlineStr">
        <is>
          <t>IT / Infrastructure Management</t>
        </is>
      </c>
      <c r="I5" s="2" t="inlineStr">
        <is>
          <t>Trend Micro endpoint; Veritas NetBackup; DR replication</t>
        </is>
      </c>
      <c r="J5" s="5" t="n">
        <v>4</v>
      </c>
      <c r="K5" s="2" t="inlineStr">
        <is>
          <t>Ransomware is common and control testing is incomplete.</t>
        </is>
      </c>
      <c r="L5" s="5" t="n">
        <v>5</v>
      </c>
      <c r="M5" s="2" t="inlineStr">
        <is>
          <t>Systemic service and transaction disruption could exceed 24 hours.</t>
        </is>
      </c>
      <c r="N5" s="5">
        <f>J5*L5</f>
        <v/>
      </c>
      <c r="O5" s="5">
        <f>IF(N5&gt;=16,"Critical",IF(N5&gt;=11,"High",IF(N5&gt;=5,"Medium","Low")))</f>
        <v/>
      </c>
      <c r="P5" s="2" t="inlineStr">
        <is>
          <t>Mitigate</t>
        </is>
      </c>
      <c r="Q5" s="2" t="inlineStr">
        <is>
          <t>Deploy EDR, segmentation, immutable/offline copies and restore exercises</t>
        </is>
      </c>
      <c r="R5" s="2" t="inlineStr">
        <is>
          <t>A.8.7; A.8.13; A.8.14; A.8.22; A.5.24</t>
        </is>
      </c>
      <c r="S5" s="7" t="n">
        <v>1800000</v>
      </c>
      <c r="T5" s="2" t="inlineStr">
        <is>
          <t>Infrastructure Manager</t>
        </is>
      </c>
      <c r="U5" s="2" t="inlineStr">
        <is>
          <t>31-Jan-2027</t>
        </is>
      </c>
      <c r="V5" s="6" t="n">
        <v>0</v>
      </c>
      <c r="W5" s="2" t="inlineStr">
        <is>
          <t>Planned</t>
        </is>
      </c>
      <c r="X5" s="5" t="n">
        <v>2</v>
      </c>
      <c r="Y5" s="2" t="inlineStr">
        <is>
          <t>EDR, isolation and tested immutable copies reduce probability.</t>
        </is>
      </c>
      <c r="Z5" s="5" t="n">
        <v>5</v>
      </c>
      <c r="AA5" s="5" t="inlineStr">
        <is>
          <t>Residual consequence remains severe for core-banking compromise.</t>
        </is>
      </c>
      <c r="AB5" s="5">
        <f>X5*Z5</f>
        <v/>
      </c>
      <c r="AC5" s="5">
        <f>IF(AB5&gt;=16,"Critical",IF(AB5&gt;=11,"High",IF(AB5&gt;=5,"Medium","Low")))</f>
        <v/>
      </c>
      <c r="AD5" s="2" t="inlineStr">
        <is>
          <t>Case study threat environment + backup/DR infrastructure; ransomware identified as a major banking threat.</t>
        </is>
      </c>
      <c r="AE5" s="2" t="inlineStr">
        <is>
          <t>Quarterly restore and annual failover evidence required.</t>
        </is>
      </c>
    </row>
    <row r="6" ht="27.6" customHeight="1">
      <c r="A6" s="2" t="inlineStr">
        <is>
          <t>R-003</t>
        </is>
      </c>
      <c r="B6" s="2" t="inlineStr">
        <is>
          <t>Digital channels</t>
        </is>
      </c>
      <c r="C6" s="2" t="inlineStr">
        <is>
          <t>Asset Inventory Ref 3 — Digital banking services</t>
        </is>
      </c>
      <c r="D6" s="2" t="inlineStr">
        <is>
          <t>Afaq Plus and Afaq Net</t>
        </is>
      </c>
      <c r="E6" s="2" t="inlineStr">
        <is>
          <t>Distributed denial of service</t>
        </is>
      </c>
      <c r="F6" s="2" t="inlineStr">
        <is>
          <t>Insufficient upstream scrubbing and single-provider dependency</t>
        </is>
      </c>
      <c r="G6" s="2" t="inlineStr">
        <is>
          <t>Availability</t>
        </is>
      </c>
      <c r="H6" s="2" t="inlineStr">
        <is>
          <t>Network Management</t>
        </is>
      </c>
      <c r="I6" s="2" t="inlineStr">
        <is>
          <t>Palo Alto HA firewalls; FortiWeb WAF; STC internet</t>
        </is>
      </c>
      <c r="J6" s="5" t="n">
        <v>4</v>
      </c>
      <c r="K6" s="2" t="inlineStr">
        <is>
          <t>Public banking channels are continuously exposed.</t>
        </is>
      </c>
      <c r="L6" s="5" t="n">
        <v>4</v>
      </c>
      <c r="M6" s="2" t="inlineStr">
        <is>
          <t>Customers cannot transact; complaints and regulatory concern likely.</t>
        </is>
      </c>
      <c r="N6" s="5">
        <f>J6*L6</f>
        <v/>
      </c>
      <c r="O6" s="5">
        <f>IF(N6&gt;=16,"Critical",IF(N6&gt;=11,"High",IF(N6&gt;=5,"Medium","Low")))</f>
        <v/>
      </c>
      <c r="P6" s="2" t="inlineStr">
        <is>
          <t>Mitigate / Transfer</t>
        </is>
      </c>
      <c r="Q6" s="2" t="inlineStr">
        <is>
          <t>Contract DDoS scrubbing, alternate connectivity, rate limits and runbook</t>
        </is>
      </c>
      <c r="R6" s="2" t="inlineStr">
        <is>
          <t>A.8.14; A.8.20; A.8.21</t>
        </is>
      </c>
      <c r="S6" s="7" t="n">
        <v>900000</v>
      </c>
      <c r="T6" s="2" t="inlineStr">
        <is>
          <t>Network Manager</t>
        </is>
      </c>
      <c r="U6" s="2" t="inlineStr">
        <is>
          <t>31-Dec-2026</t>
        </is>
      </c>
      <c r="V6" s="6" t="n">
        <v>0</v>
      </c>
      <c r="W6" s="2" t="inlineStr">
        <is>
          <t>Planned</t>
        </is>
      </c>
      <c r="X6" s="5" t="n">
        <v>2</v>
      </c>
      <c r="Y6" s="2" t="inlineStr">
        <is>
          <t>Provider scrubbing and tested failover reduce disruption likelihood.</t>
        </is>
      </c>
      <c r="Z6" s="5" t="n">
        <v>4</v>
      </c>
      <c r="AA6" s="5" t="inlineStr">
        <is>
          <t>A successful large attack can still cause major interruption.</t>
        </is>
      </c>
      <c r="AB6" s="5">
        <f>X6*Z6</f>
        <v/>
      </c>
      <c r="AC6" s="5">
        <f>IF(AB6&gt;=16,"Critical",IF(AB6&gt;=11,"High",IF(AB6&gt;=5,"Medium","Low")))</f>
        <v/>
      </c>
      <c r="AD6" s="2" t="inlineStr">
        <is>
          <t>Case study external threat environment: DDoS risk to customer-facing digital banking services.</t>
        </is>
      </c>
      <c r="AE6" s="2" t="inlineStr">
        <is>
          <t>Include supplier escalation and communications exercise.</t>
        </is>
      </c>
    </row>
    <row r="7" ht="27.6" customHeight="1">
      <c r="A7" s="2" t="inlineStr">
        <is>
          <t>R-004</t>
        </is>
      </c>
      <c r="B7" s="2" t="inlineStr">
        <is>
          <t>Network security</t>
        </is>
      </c>
      <c r="C7" s="2" t="inlineStr">
        <is>
          <t>Asset Inventory Ref 4 — Network / security infrastructure</t>
        </is>
      </c>
      <c r="D7" s="2" t="inlineStr">
        <is>
          <t>Palo Alto firewall estate</t>
        </is>
      </c>
      <c r="E7" s="2" t="inlineStr">
        <is>
          <t>Erroneous or unauthorized rule change</t>
        </is>
      </c>
      <c r="F7" s="2" t="inlineStr">
        <is>
          <t>No dual review, rollback validation or automated drift monitoring</t>
        </is>
      </c>
      <c r="G7" s="2" t="inlineStr">
        <is>
          <t>Integrity, Availability</t>
        </is>
      </c>
      <c r="H7" s="2" t="inlineStr">
        <is>
          <t>Network Management</t>
        </is>
      </c>
      <c r="I7" s="2" t="inlineStr">
        <is>
          <t>HA pair; Jira Service Management; configuration backups</t>
        </is>
      </c>
      <c r="J7" s="5" t="n">
        <v>4</v>
      </c>
      <c r="K7" s="2" t="inlineStr">
        <is>
          <t>A prior deletion caused a three-hour outage.</t>
        </is>
      </c>
      <c r="L7" s="5" t="n">
        <v>5</v>
      </c>
      <c r="M7" s="2" t="inlineStr">
        <is>
          <t>Critical banking services and customers may be broadly affected.</t>
        </is>
      </c>
      <c r="N7" s="5">
        <f>J7*L7</f>
        <v/>
      </c>
      <c r="O7" s="5">
        <f>IF(N7&gt;=16,"Critical",IF(N7&gt;=11,"High",IF(N7&gt;=5,"Medium","Low")))</f>
        <v/>
      </c>
      <c r="P7" s="2" t="inlineStr">
        <is>
          <t>Mitigate</t>
        </is>
      </c>
      <c r="Q7" s="2" t="inlineStr">
        <is>
          <t>Require dual approval, tested rollback, config backup and drift alerts</t>
        </is>
      </c>
      <c r="R7" s="2" t="inlineStr">
        <is>
          <t>A.8.9; A.8.16; A.8.32</t>
        </is>
      </c>
      <c r="S7" s="7" t="n">
        <v>250000</v>
      </c>
      <c r="T7" s="2" t="inlineStr">
        <is>
          <t>Network Manager</t>
        </is>
      </c>
      <c r="U7" s="2" t="inlineStr">
        <is>
          <t>31-Oct-2026</t>
        </is>
      </c>
      <c r="V7" s="6" t="n">
        <v>0</v>
      </c>
      <c r="W7" s="2" t="inlineStr">
        <is>
          <t>Planned</t>
        </is>
      </c>
      <c r="X7" s="5" t="n">
        <v>2</v>
      </c>
      <c r="Y7" s="2" t="inlineStr">
        <is>
          <t>Independent review and monitoring reduce recurrence.</t>
        </is>
      </c>
      <c r="Z7" s="5" t="n">
        <v>4</v>
      </c>
      <c r="AA7" s="5" t="inlineStr">
        <is>
          <t>A complex change may still cause a major outage.</t>
        </is>
      </c>
      <c r="AB7" s="5">
        <f>X7*Z7</f>
        <v/>
      </c>
      <c r="AC7" s="5">
        <f>IF(AB7&gt;=16,"Critical",IF(AB7&gt;=11,"High",IF(AB7&gt;=5,"Medium","Low")))</f>
        <v/>
      </c>
      <c r="AD7" s="2" t="inlineStr">
        <is>
          <t>Case study incident: firewall rule change caused a 3-hour digital-banking outage.</t>
        </is>
      </c>
      <c r="AE7" s="2" t="inlineStr">
        <is>
          <t>No emergency change may bypass retrospective review.</t>
        </is>
      </c>
    </row>
    <row r="8" ht="27.6" customHeight="1">
      <c r="A8" s="2" t="inlineStr">
        <is>
          <t>R-005</t>
        </is>
      </c>
      <c r="B8" s="2" t="inlineStr">
        <is>
          <t>Business process</t>
        </is>
      </c>
      <c r="C8" s="2" t="inlineStr">
        <is>
          <t>Asset Inventory Ref 5 — Payment and business processes</t>
        </is>
      </c>
      <c r="D8" s="2" t="inlineStr">
        <is>
          <t>Finance payment process</t>
        </is>
      </c>
      <c r="E8" s="2" t="inlineStr">
        <is>
          <t>Phishing / business email compromise</t>
        </is>
      </c>
      <c r="F8" s="2" t="inlineStr">
        <is>
          <t>High click/credential rates and slow alert review</t>
        </is>
      </c>
      <c r="G8" s="2" t="inlineStr">
        <is>
          <t>Confidentiality, Integrity</t>
        </is>
      </c>
      <c r="H8" s="2" t="inlineStr">
        <is>
          <t>Finance / Business Process Owner</t>
        </is>
      </c>
      <c r="I8" s="2" t="inlineStr">
        <is>
          <t>Cisco Email Security; fraud detection; some MFA</t>
        </is>
      </c>
      <c r="J8" s="5" t="n">
        <v>4</v>
      </c>
      <c r="K8" s="2" t="inlineStr">
        <is>
          <t>Simulation and attempted SAR 150,000 transfer show active exposure.</t>
        </is>
      </c>
      <c r="L8" s="5" t="n">
        <v>5</v>
      </c>
      <c r="M8" s="2" t="inlineStr">
        <is>
          <t>Fraud, disclosure and regulatory/reputational consequences.</t>
        </is>
      </c>
      <c r="N8" s="5">
        <f>J8*L8</f>
        <v/>
      </c>
      <c r="O8" s="5">
        <f>IF(N8&gt;=16,"Critical",IF(N8&gt;=11,"High",IF(N8&gt;=5,"Medium","Low")))</f>
        <v/>
      </c>
      <c r="P8" s="2" t="inlineStr">
        <is>
          <t>Mitigate</t>
        </is>
      </c>
      <c r="Q8" s="2" t="inlineStr">
        <is>
          <t>Phishing-resistant MFA, call-back verification, one-click reporting and training</t>
        </is>
      </c>
      <c r="R8" s="2" t="inlineStr">
        <is>
          <t>A.6.3; A.8.5; A.8.7; A.5.24</t>
        </is>
      </c>
      <c r="S8" s="7" t="n">
        <v>500000</v>
      </c>
      <c r="T8" s="2" t="inlineStr">
        <is>
          <t>Finance Director</t>
        </is>
      </c>
      <c r="U8" s="2" t="inlineStr">
        <is>
          <t>31-Dec-2026</t>
        </is>
      </c>
      <c r="V8" s="6" t="n">
        <v>0</v>
      </c>
      <c r="W8" s="2" t="inlineStr">
        <is>
          <t>Planned</t>
        </is>
      </c>
      <c r="X8" s="5" t="n">
        <v>2</v>
      </c>
      <c r="Y8" s="2" t="inlineStr">
        <is>
          <t>MFA and independent payment verification lower success.</t>
        </is>
      </c>
      <c r="Z8" s="5" t="n">
        <v>4</v>
      </c>
      <c r="AA8" s="5" t="inlineStr">
        <is>
          <t>A sophisticated compromise could still cause major loss.</t>
        </is>
      </c>
      <c r="AB8" s="5">
        <f>X8*Z8</f>
        <v/>
      </c>
      <c r="AC8" s="5">
        <f>IF(AB8&gt;=16,"Critical",IF(AB8&gt;=11,"High",IF(AB8&gt;=5,"Medium","Low")))</f>
        <v/>
      </c>
      <c r="AD8" s="2" t="inlineStr">
        <is>
          <t>Case study incident: phishing/BEC attempted SAR 150,000 fraudulent transfer.</t>
        </is>
      </c>
      <c r="AE8" s="2" t="inlineStr">
        <is>
          <t>Marketing and Finance receive monthly targeted exercises.</t>
        </is>
      </c>
    </row>
    <row r="9" ht="27.6" customHeight="1">
      <c r="A9" s="2" t="inlineStr">
        <is>
          <t>R-006</t>
        </is>
      </c>
      <c r="B9" s="2" t="inlineStr">
        <is>
          <t>Endpoints</t>
        </is>
      </c>
      <c r="C9" s="2" t="inlineStr">
        <is>
          <t>Asset Inventory Ref 6 — Employee devices</t>
        </is>
      </c>
      <c r="D9" s="2" t="inlineStr">
        <is>
          <t>Laptops and bank mobile devices</t>
        </is>
      </c>
      <c r="E9" s="2" t="inlineStr">
        <is>
          <t>Loss or theft</t>
        </is>
      </c>
      <c r="F9" s="2" t="inlineStr">
        <is>
          <t>Incomplete full-disk encryption, MDM and delayed reporting</t>
        </is>
      </c>
      <c r="G9" s="2" t="inlineStr">
        <is>
          <t>Confidentiality</t>
        </is>
      </c>
      <c r="H9" s="2" t="inlineStr">
        <is>
          <t>IT Support / Endpoint Management</t>
        </is>
      </c>
      <c r="I9" s="2" t="inlineStr">
        <is>
          <t>Endpoint antivirus; Active Directory; device inventory</t>
        </is>
      </c>
      <c r="J9" s="5" t="n">
        <v>4</v>
      </c>
      <c r="K9" s="2" t="inlineStr">
        <is>
          <t>A marketing laptop was lost unencrypted and reported after 48h.</t>
        </is>
      </c>
      <c r="L9" s="5" t="n">
        <v>5</v>
      </c>
      <c r="M9" s="2" t="inlineStr">
        <is>
          <t>Customer campaign data exposure and regulator/customer notification.</t>
        </is>
      </c>
      <c r="N9" s="5">
        <f>J9*L9</f>
        <v/>
      </c>
      <c r="O9" s="5">
        <f>IF(N9&gt;=16,"Critical",IF(N9&gt;=11,"High",IF(N9&gt;=5,"Medium","Low")))</f>
        <v/>
      </c>
      <c r="P9" s="2" t="inlineStr">
        <is>
          <t>Mitigate</t>
        </is>
      </c>
      <c r="Q9" s="2" t="inlineStr">
        <is>
          <t>Enforce FDE, MDM, remote wipe and four-hour reporting</t>
        </is>
      </c>
      <c r="R9" s="2" t="inlineStr">
        <is>
          <t>A.8.1; A.8.24; A.6.8</t>
        </is>
      </c>
      <c r="S9" s="7" t="n">
        <v>1100000</v>
      </c>
      <c r="T9" s="2" t="inlineStr">
        <is>
          <t>IT Support Manager</t>
        </is>
      </c>
      <c r="U9" s="2" t="inlineStr">
        <is>
          <t>30-Nov-2026</t>
        </is>
      </c>
      <c r="V9" s="6" t="n">
        <v>0</v>
      </c>
      <c r="W9" s="2" t="inlineStr">
        <is>
          <t>Planned</t>
        </is>
      </c>
      <c r="X9" s="5" t="n">
        <v>2</v>
      </c>
      <c r="Y9" s="2" t="inlineStr">
        <is>
          <t>Encryption and remote controls reduce disclosure probability.</t>
        </is>
      </c>
      <c r="Z9" s="5" t="n">
        <v>4</v>
      </c>
      <c r="AA9" s="5" t="inlineStr">
        <is>
          <t>Loss of an unlocked/compromised device remains major.</t>
        </is>
      </c>
      <c r="AB9" s="5">
        <f>X9*Z9</f>
        <v/>
      </c>
      <c r="AC9" s="5">
        <f>IF(AB9&gt;=16,"Critical",IF(AB9&gt;=11,"High",IF(AB9&gt;=5,"Medium","Low")))</f>
        <v/>
      </c>
      <c r="AD9" s="2" t="inlineStr">
        <is>
          <t>Case study incident: lost marketing laptop contained customer data and was not encrypted.</t>
        </is>
      </c>
      <c r="AE9" s="2" t="inlineStr">
        <is>
          <t>100% inventory reconciliation and encryption evidence.</t>
        </is>
      </c>
    </row>
    <row r="10" ht="41.4" customHeight="1">
      <c r="A10" s="2" t="inlineStr">
        <is>
          <t>R-007</t>
        </is>
      </c>
      <c r="B10" s="2" t="inlineStr">
        <is>
          <t>People and access</t>
        </is>
      </c>
      <c r="C10" s="2" t="inlineStr">
        <is>
          <t>Asset Inventory Ref 7 — Employee information / file services</t>
        </is>
      </c>
      <c r="D10" s="2" t="inlineStr">
        <is>
          <t>HR shares and enterprise file services</t>
        </is>
      </c>
      <c r="E10" s="2" t="inlineStr">
        <is>
          <t>Unauthorized access by excessive privileges</t>
        </is>
      </c>
      <c r="F10" s="2" t="inlineStr">
        <is>
          <t>Inherited access and no complete periodic recertification</t>
        </is>
      </c>
      <c r="G10" s="2" t="inlineStr">
        <is>
          <t>Confidentiality</t>
        </is>
      </c>
      <c r="H10" s="2" t="inlineStr">
        <is>
          <t>HR / Information Systems Owner</t>
        </is>
      </c>
      <c r="I10" s="2" t="inlineStr">
        <is>
          <t>Active Directory groups; manager requests</t>
        </is>
      </c>
      <c r="J10" s="5" t="n">
        <v>4</v>
      </c>
      <c r="K10" s="2" t="inlineStr">
        <is>
          <t>Excess access existed for an unknown period.</t>
        </is>
      </c>
      <c r="L10" s="5" t="n">
        <v>4</v>
      </c>
      <c r="M10" s="2" t="inlineStr">
        <is>
          <t>Sensitive employee data could be viewed or altered.</t>
        </is>
      </c>
      <c r="N10" s="5">
        <f>J10*L10</f>
        <v/>
      </c>
      <c r="O10" s="5">
        <f>IF(N10&gt;=16,"Critical",IF(N10&gt;=11,"High",IF(N10&gt;=5,"Medium","Low")))</f>
        <v/>
      </c>
      <c r="P10" s="2" t="inlineStr">
        <is>
          <t>Mitigate</t>
        </is>
      </c>
      <c r="Q10" s="2" t="inlineStr">
        <is>
          <t>RBAC cleanup and quarterly owner recertification</t>
        </is>
      </c>
      <c r="R10" s="2" t="inlineStr">
        <is>
          <t>A.5.15; A.5.16; A.5.18; A.8.3</t>
        </is>
      </c>
      <c r="S10" s="7" t="n">
        <v>200000</v>
      </c>
      <c r="T10" s="2" t="inlineStr">
        <is>
          <t>Identity and Access Manager</t>
        </is>
      </c>
      <c r="U10" s="2" t="inlineStr">
        <is>
          <t>31-Dec-2026</t>
        </is>
      </c>
      <c r="V10" s="6" t="n">
        <v>0</v>
      </c>
      <c r="W10" s="2" t="inlineStr">
        <is>
          <t>Planned</t>
        </is>
      </c>
      <c r="X10" s="5" t="n">
        <v>2</v>
      </c>
      <c r="Y10" s="2" t="inlineStr">
        <is>
          <t>Owner recertification reduces persistent excess access.</t>
        </is>
      </c>
      <c r="Z10" s="5" t="n">
        <v>4</v>
      </c>
      <c r="AA10" s="5" t="inlineStr">
        <is>
          <t>Mis-provisioning can still have major employee privacy impact.</t>
        </is>
      </c>
      <c r="AB10" s="5">
        <f>X10*Z10</f>
        <v/>
      </c>
      <c r="AC10" s="5">
        <f>IF(AB10&gt;=16,"Critical",IF(AB10&gt;=11,"High",IF(AB10&gt;=5,"Medium","Low")))</f>
        <v/>
      </c>
      <c r="AD10" s="2" t="inlineStr">
        <is>
          <t>Case study incident: IT staff retained inappropriate access to HR files; periodic review gap.</t>
        </is>
      </c>
      <c r="AE10" s="2" t="inlineStr">
        <is>
          <t>First HR recertification is an audit evidence priority.</t>
        </is>
      </c>
    </row>
    <row r="11" ht="27.6" customHeight="1">
      <c r="A11" s="2" t="inlineStr">
        <is>
          <t>R-008</t>
        </is>
      </c>
      <c r="B11" s="2" t="inlineStr">
        <is>
          <t>Identity</t>
        </is>
      </c>
      <c r="C11" s="2" t="inlineStr">
        <is>
          <t>Asset Inventory Ref 8 — Privileged identities</t>
        </is>
      </c>
      <c r="D11" s="2" t="inlineStr">
        <is>
          <t>Privileged accounts</t>
        </is>
      </c>
      <c r="E11" s="2" t="inlineStr">
        <is>
          <t>Credential compromise or misuse</t>
        </is>
      </c>
      <c r="F11" s="2" t="inlineStr">
        <is>
          <t>No PAM; passwords are manually administered and may be shared</t>
        </is>
      </c>
      <c r="G11" s="2" t="inlineStr">
        <is>
          <t>Confidentiality, Integrity, Availability</t>
        </is>
      </c>
      <c r="H11" s="2" t="inlineStr">
        <is>
          <t>Information Security Management</t>
        </is>
      </c>
      <c r="I11" s="2" t="inlineStr">
        <is>
          <t>RSA SecurID for some sensitive remote access; AD policies</t>
        </is>
      </c>
      <c r="J11" s="5" t="n">
        <v>4</v>
      </c>
      <c r="K11" s="2" t="inlineStr">
        <is>
          <t>High privilege and weak custody make compromise likely.</t>
        </is>
      </c>
      <c r="L11" s="5" t="n">
        <v>5</v>
      </c>
      <c r="M11" s="2" t="inlineStr">
        <is>
          <t>An administrator can alter systems, data, logs and security controls.</t>
        </is>
      </c>
      <c r="N11" s="5">
        <f>J11*L11</f>
        <v/>
      </c>
      <c r="O11" s="5">
        <f>IF(N11&gt;=16,"Critical",IF(N11&gt;=11,"High",IF(N11&gt;=5,"Medium","Low")))</f>
        <v/>
      </c>
      <c r="P11" s="2" t="inlineStr">
        <is>
          <t>Mitigate</t>
        </is>
      </c>
      <c r="Q11" s="2" t="inlineStr">
        <is>
          <t>PAM vault, named accounts, MFA, session recording and JIT access</t>
        </is>
      </c>
      <c r="R11" s="2" t="inlineStr">
        <is>
          <t>A.5.17; A.8.2; A.8.5; A.8.15</t>
        </is>
      </c>
      <c r="S11" s="7" t="n">
        <v>1600000</v>
      </c>
      <c r="T11" s="2" t="inlineStr">
        <is>
          <t>Information Security Management / IT Management</t>
        </is>
      </c>
      <c r="U11" s="2" t="inlineStr">
        <is>
          <t>28-Feb-2027</t>
        </is>
      </c>
      <c r="V11" s="6" t="n">
        <v>0</v>
      </c>
      <c r="W11" s="2" t="inlineStr">
        <is>
          <t>Planned</t>
        </is>
      </c>
      <c r="X11" s="5" t="n">
        <v>2</v>
      </c>
      <c r="Y11" s="2" t="inlineStr">
        <is>
          <t>PAM/MFA/JIT substantially reduce credential misuse.</t>
        </is>
      </c>
      <c r="Z11" s="5" t="n">
        <v>5</v>
      </c>
      <c r="AA11" s="5" t="inlineStr">
        <is>
          <t>Residual privileged compromise could remain severe.</t>
        </is>
      </c>
      <c r="AB11" s="5">
        <f>X11*Z11</f>
        <v/>
      </c>
      <c r="AC11" s="5">
        <f>IF(AB11&gt;=16,"Critical",IF(AB11&gt;=11,"High",IF(AB11&gt;=5,"Medium","Low")))</f>
        <v/>
      </c>
      <c r="AD11" s="2" t="inlineStr">
        <is>
          <t>Case study: no PAM; privileged passwords administered manually / sharing risk.</t>
        </is>
      </c>
      <c r="AE11" s="2" t="inlineStr">
        <is>
          <t>CEO visibility until coverage reaches 95%.</t>
        </is>
      </c>
    </row>
    <row r="12" ht="27.6" customHeight="1">
      <c r="A12" s="2" t="inlineStr">
        <is>
          <t>R-009</t>
        </is>
      </c>
      <c r="B12" s="2" t="inlineStr">
        <is>
          <t>Digital certificates</t>
        </is>
      </c>
      <c r="C12" s="2" t="inlineStr">
        <is>
          <t>Asset Inventory Ref 9 — Digital certificates</t>
        </is>
      </c>
      <c r="D12" s="2" t="inlineStr">
        <is>
          <t>Public web and API TLS certificates</t>
        </is>
      </c>
      <c r="E12" s="2" t="inlineStr">
        <is>
          <t>Certificate expiry</t>
        </is>
      </c>
      <c r="F12" s="2" t="inlineStr">
        <is>
          <t>Manual inventory and renewal monitoring</t>
        </is>
      </c>
      <c r="G12" s="2" t="inlineStr">
        <is>
          <t>Availability, Confidentiality</t>
        </is>
      </c>
      <c r="H12" s="2" t="inlineStr">
        <is>
          <t>Infrastructure Management</t>
        </is>
      </c>
      <c r="I12" s="2" t="inlineStr">
        <is>
          <t>Vendor certificates; manual calendar reminders</t>
        </is>
      </c>
      <c r="J12" s="5" t="n">
        <v>3</v>
      </c>
      <c r="K12" s="2" t="inlineStr">
        <is>
          <t>A certificate expired for four hours six months ago.</t>
        </is>
      </c>
      <c r="L12" s="5" t="n">
        <v>4</v>
      </c>
      <c r="M12" s="2" t="inlineStr">
        <is>
          <t>Digital service trust and availability are materially affected.</t>
        </is>
      </c>
      <c r="N12" s="5">
        <f>J12*L12</f>
        <v/>
      </c>
      <c r="O12" s="5">
        <f>IF(N12&gt;=16,"Critical",IF(N12&gt;=11,"High",IF(N12&gt;=5,"Medium","Low")))</f>
        <v/>
      </c>
      <c r="P12" s="2" t="inlineStr">
        <is>
          <t>Mitigate</t>
        </is>
      </c>
      <c r="Q12" s="2" t="inlineStr">
        <is>
          <t>Central inventory, 60/30/14/7-day alerts and auto-renewal</t>
        </is>
      </c>
      <c r="R12" s="2" t="inlineStr">
        <is>
          <t>A.8.9; A.8.16; A.8.21; A.8.24</t>
        </is>
      </c>
      <c r="S12" s="7" t="n">
        <v>120000</v>
      </c>
      <c r="T12" s="2" t="inlineStr">
        <is>
          <t>Infrastructure Manager</t>
        </is>
      </c>
      <c r="U12" s="2" t="inlineStr">
        <is>
          <t>31-Oct-2026</t>
        </is>
      </c>
      <c r="V12" s="6" t="n">
        <v>0</v>
      </c>
      <c r="W12" s="2" t="inlineStr">
        <is>
          <t>Planned</t>
        </is>
      </c>
      <c r="X12" s="5" t="n">
        <v>1</v>
      </c>
      <c r="Y12" s="2" t="inlineStr">
        <is>
          <t>Automated ownership and alerts make recurrence rare.</t>
        </is>
      </c>
      <c r="Z12" s="5" t="n">
        <v>4</v>
      </c>
      <c r="AA12" s="5" t="inlineStr">
        <is>
          <t>Impact remains major if renewal still fails.</t>
        </is>
      </c>
      <c r="AB12" s="5">
        <f>X12*Z12</f>
        <v/>
      </c>
      <c r="AC12" s="5">
        <f>IF(AB12&gt;=16,"Critical",IF(AB12&gt;=11,"High",IF(AB12&gt;=5,"Medium","Low")))</f>
        <v/>
      </c>
      <c r="AD12" s="2" t="inlineStr">
        <is>
          <t>Case study incident: SSL/TLS certificate expired and services were affected for about 4 hours.</t>
        </is>
      </c>
      <c r="AE12" s="2" t="inlineStr">
        <is>
          <t>Disable TLS 1.0/1.1 in the same change programme.</t>
        </is>
      </c>
    </row>
    <row r="13" ht="41.4" customHeight="1">
      <c r="A13" s="2" t="inlineStr">
        <is>
          <t>R-010</t>
        </is>
      </c>
      <c r="B13" s="2" t="inlineStr">
        <is>
          <t>Vulnerability management</t>
        </is>
      </c>
      <c r="C13" s="2" t="inlineStr">
        <is>
          <t>Asset Inventory Ref 10 — Core systems / applications / network devices</t>
        </is>
      </c>
      <c r="D13" s="2" t="inlineStr">
        <is>
          <t>Servers, applications and network devices</t>
        </is>
      </c>
      <c r="E13" s="2" t="inlineStr">
        <is>
          <t>Exploitation of unpatched vulnerability</t>
        </is>
      </c>
      <c r="F13" s="2" t="inlineStr">
        <is>
          <t>Quarterly scanning and incomplete remediation SLA enforcement</t>
        </is>
      </c>
      <c r="G13" s="2" t="inlineStr">
        <is>
          <t>Confidentiality, Integrity, Availability</t>
        </is>
      </c>
      <c r="H13" s="2" t="inlineStr">
        <is>
          <t>IT / Vulnerability Management</t>
        </is>
      </c>
      <c r="I13" s="2" t="inlineStr">
        <is>
          <t>Qualys external scans; Jira; vendor patching</t>
        </is>
      </c>
      <c r="J13" s="5" t="n">
        <v>5</v>
      </c>
      <c r="K13" s="2" t="inlineStr">
        <is>
          <t>Known High issues remain open and threat activity is continuous.</t>
        </is>
      </c>
      <c r="L13" s="5" t="n">
        <v>5</v>
      </c>
      <c r="M13" s="2" t="inlineStr">
        <is>
          <t>Exploitation may compromise regulated data and critical services.</t>
        </is>
      </c>
      <c r="N13" s="5">
        <f>J13*L13</f>
        <v/>
      </c>
      <c r="O13" s="5">
        <f>IF(N13&gt;=16,"Critical",IF(N13&gt;=11,"High",IF(N13&gt;=5,"Medium","Low")))</f>
        <v/>
      </c>
      <c r="P13" s="2" t="inlineStr">
        <is>
          <t>Mitigate</t>
        </is>
      </c>
      <c r="Q13" s="2" t="inlineStr">
        <is>
          <t>Weekly scans; 72h Critical/15-day High SLA; exception board and retest</t>
        </is>
      </c>
      <c r="R13" s="2" t="inlineStr">
        <is>
          <t>A.8.8; A.8.29; A.8.32</t>
        </is>
      </c>
      <c r="S13" s="7" t="n">
        <v>750000</v>
      </c>
      <c r="T13" s="2" t="inlineStr">
        <is>
          <t>Vulnerability Manager</t>
        </is>
      </c>
      <c r="U13" s="2" t="inlineStr">
        <is>
          <t>30-Nov-2026</t>
        </is>
      </c>
      <c r="V13" s="6" t="n">
        <v>0</v>
      </c>
      <c r="W13" s="2" t="inlineStr">
        <is>
          <t>Planned</t>
        </is>
      </c>
      <c r="X13" s="5" t="n">
        <v>2</v>
      </c>
      <c r="Y13" s="2" t="inlineStr">
        <is>
          <t>Faster detection, ownership and validation reduce likelihood.</t>
        </is>
      </c>
      <c r="Z13" s="5" t="n">
        <v>5</v>
      </c>
      <c r="AA13" s="5" t="inlineStr">
        <is>
          <t>A zero-day against a critical service remains severe.</t>
        </is>
      </c>
      <c r="AB13" s="5">
        <f>X13*Z13</f>
        <v/>
      </c>
      <c r="AC13" s="5">
        <f>IF(AB13&gt;=16,"Critical",IF(AB13&gt;=11,"High",IF(AB13&gt;=5,"Medium","Low")))</f>
        <v/>
      </c>
      <c r="AD13" s="2" t="inlineStr">
        <is>
          <t>Case study: 3 High and 7 Medium online-banking findings; some older vulnerabilities remained unresolved.</t>
        </is>
      </c>
      <c r="AE13" s="2" t="inlineStr">
        <is>
          <t>Report aging and recurrence monthly.</t>
        </is>
      </c>
    </row>
    <row r="14" ht="27.6" customHeight="1">
      <c r="A14" s="2" t="inlineStr">
        <is>
          <t>R-011</t>
        </is>
      </c>
      <c r="B14" s="2" t="inlineStr">
        <is>
          <t>Monitoring</t>
        </is>
      </c>
      <c r="C14" s="2" t="inlineStr">
        <is>
          <t>Asset Inventory Ref 11 — Security logs and monitoring</t>
        </is>
      </c>
      <c r="D14" s="2" t="inlineStr">
        <is>
          <t>Logs and security devices</t>
        </is>
      </c>
      <c r="E14" s="2" t="inlineStr">
        <is>
          <t>Inaccurate event sequence</t>
        </is>
      </c>
      <c r="F14" s="2" t="inlineStr">
        <is>
          <t>Up to seven-minute clock drift and no standard NTP policy</t>
        </is>
      </c>
      <c r="G14" s="2" t="inlineStr">
        <is>
          <t>Integrity</t>
        </is>
      </c>
      <c r="H14" s="2" t="inlineStr">
        <is>
          <t>Infrastructure Management</t>
        </is>
      </c>
      <c r="I14" s="2" t="inlineStr">
        <is>
          <t>Local/device time sources; central Syslog</t>
        </is>
      </c>
      <c r="J14" s="5" t="n">
        <v>4</v>
      </c>
      <c r="K14" s="2" t="inlineStr">
        <is>
          <t>Known drift is widespread enough to affect correlation.</t>
        </is>
      </c>
      <c r="L14" s="5" t="n">
        <v>3</v>
      </c>
      <c r="M14" s="2" t="inlineStr">
        <is>
          <t>Investigation, fraud analysis and evidence reliability are impaired.</t>
        </is>
      </c>
      <c r="N14" s="5">
        <f>J14*L14</f>
        <v/>
      </c>
      <c r="O14" s="5">
        <f>IF(N14&gt;=16,"Critical",IF(N14&gt;=11,"High",IF(N14&gt;=5,"Medium","Low")))</f>
        <v/>
      </c>
      <c r="P14" s="2" t="inlineStr">
        <is>
          <t>Mitigate</t>
        </is>
      </c>
      <c r="Q14" s="2" t="inlineStr">
        <is>
          <t>Redundant authenticated NTP and daily drift alerting</t>
        </is>
      </c>
      <c r="R14" s="2" t="inlineStr">
        <is>
          <t>A.8.17</t>
        </is>
      </c>
      <c r="S14" s="7" t="n">
        <v>90000</v>
      </c>
      <c r="T14" s="2" t="inlineStr">
        <is>
          <t>Infrastructure Manager</t>
        </is>
      </c>
      <c r="U14" s="2" t="inlineStr">
        <is>
          <t>31-Oct-2026</t>
        </is>
      </c>
      <c r="V14" s="6" t="n">
        <v>0</v>
      </c>
      <c r="W14" s="2" t="inlineStr">
        <is>
          <t>Planned</t>
        </is>
      </c>
      <c r="X14" s="5" t="n">
        <v>1</v>
      </c>
      <c r="Y14" s="2" t="inlineStr">
        <is>
          <t>Authoritative NTP and alerting make harmful drift rare.</t>
        </is>
      </c>
      <c r="Z14" s="5" t="n">
        <v>3</v>
      </c>
      <c r="AA14" s="5" t="inlineStr">
        <is>
          <t>A time service failure still has moderate investigative impact.</t>
        </is>
      </c>
      <c r="AB14" s="5">
        <f>X14*Z14</f>
        <v/>
      </c>
      <c r="AC14" s="5">
        <f>IF(AB14&gt;=16,"Critical",IF(AB14&gt;=11,"High",IF(AB14&gt;=5,"Medium","Low")))</f>
        <v/>
      </c>
      <c r="AD14" s="2" t="inlineStr">
        <is>
          <t>Case-study annex A.8.17: inconsistent time sources and up to 7-minute log difference.</t>
        </is>
      </c>
      <c r="AE14" s="2" t="inlineStr">
        <is>
          <t>Target drift below one second for critical systems.</t>
        </is>
      </c>
    </row>
    <row r="15" ht="41.4" customHeight="1">
      <c r="A15" s="2" t="inlineStr">
        <is>
          <t>R-012</t>
        </is>
      </c>
      <c r="B15" s="2" t="inlineStr">
        <is>
          <t>Cloud services</t>
        </is>
      </c>
      <c r="C15" s="2" t="inlineStr">
        <is>
          <t>Asset Inventory Ref 12 — AWS development / test / analytics</t>
        </is>
      </c>
      <c r="D15" s="2" t="inlineStr">
        <is>
          <t>AWS dev/test/analytics</t>
        </is>
      </c>
      <c r="E15" s="2" t="inlineStr">
        <is>
          <t>Cloud misconfiguration or credential exposure</t>
        </is>
      </c>
      <c r="F15" s="2" t="inlineStr">
        <is>
          <t>No comprehensive cloud policy, data rules, CSPM or shared model</t>
        </is>
      </c>
      <c r="G15" s="2" t="inlineStr">
        <is>
          <t>Confidentiality, Integrity</t>
        </is>
      </c>
      <c r="H15" s="2" t="inlineStr">
        <is>
          <t>Cloud Service Owner</t>
        </is>
      </c>
      <c r="I15" s="2" t="inlineStr">
        <is>
          <t>Use limited to non-critical workloads; AWS native controls</t>
        </is>
      </c>
      <c r="J15" s="5" t="n">
        <v>3</v>
      </c>
      <c r="K15" s="2" t="inlineStr">
        <is>
          <t>Cloud use is active and governance gaps are documented.</t>
        </is>
      </c>
      <c r="L15" s="5" t="n">
        <v>5</v>
      </c>
      <c r="M15" s="2" t="inlineStr">
        <is>
          <t>Credentials or copied bank information could create major breach.</t>
        </is>
      </c>
      <c r="N15" s="5">
        <f>J15*L15</f>
        <v/>
      </c>
      <c r="O15" s="5">
        <f>IF(N15&gt;=16,"Critical",IF(N15&gt;=11,"High",IF(N15&gt;=5,"Medium","Low")))</f>
        <v/>
      </c>
      <c r="P15" s="2" t="inlineStr">
        <is>
          <t>Mitigate</t>
        </is>
      </c>
      <c r="Q15" s="2" t="inlineStr">
        <is>
          <t>Cloud policy, account baseline, CSPM, least privilege, encryption and exit plan</t>
        </is>
      </c>
      <c r="R15" s="2" t="inlineStr">
        <is>
          <t>A.5.23; A.8.9; A.8.24</t>
        </is>
      </c>
      <c r="S15" s="7" t="n">
        <v>700000</v>
      </c>
      <c r="T15" s="2" t="inlineStr">
        <is>
          <t>Cloud Service Owner</t>
        </is>
      </c>
      <c r="U15" s="2" t="inlineStr">
        <is>
          <t>31-Jan-2027</t>
        </is>
      </c>
      <c r="V15" s="6" t="n">
        <v>0</v>
      </c>
      <c r="W15" s="2" t="inlineStr">
        <is>
          <t>Planned</t>
        </is>
      </c>
      <c r="X15" s="5" t="n">
        <v>2</v>
      </c>
      <c r="Y15" s="2" t="inlineStr">
        <is>
          <t>Guardrails and CSPM reduce misconfiguration likelihood.</t>
        </is>
      </c>
      <c r="Z15" s="5" t="n">
        <v>4</v>
      </c>
      <c r="AA15" s="5" t="inlineStr">
        <is>
          <t>Remaining scoped cloud data has major potential impact.</t>
        </is>
      </c>
      <c r="AB15" s="5">
        <f>X15*Z15</f>
        <v/>
      </c>
      <c r="AC15" s="5">
        <f>IF(AB15&gt;=16,"Critical",IF(AB15&gt;=11,"High",IF(AB15&gt;=5,"Medium","Low")))</f>
        <v/>
      </c>
      <c r="AD15" s="2" t="inlineStr">
        <is>
          <t>Case-study annex A.5.23: AWS used without complete cloud-risk assessment/policy/shared-responsibility definition.</t>
        </is>
      </c>
      <c r="AE15" s="2" t="inlineStr">
        <is>
          <t>Prohibit Restricted production data unless separately approved.</t>
        </is>
      </c>
    </row>
    <row r="16" ht="41.4" customHeight="1">
      <c r="A16" s="2" t="inlineStr">
        <is>
          <t>R-013</t>
        </is>
      </c>
      <c r="B16" s="2" t="inlineStr">
        <is>
          <t>Suppliers</t>
        </is>
      </c>
      <c r="C16" s="2" t="inlineStr">
        <is>
          <t>Asset Inventory Ref 13 — Partner / supplier services</t>
        </is>
      </c>
      <c r="D16" s="2" t="inlineStr">
        <is>
          <t>External mobile application developer</t>
        </is>
      </c>
      <c r="E16" s="2" t="inlineStr">
        <is>
          <t>Supply-chain compromise</t>
        </is>
      </c>
      <c r="F16" s="2" t="inlineStr">
        <is>
          <t>Security due diligence, clauses, SBOM and testing not fully evidenced</t>
        </is>
      </c>
      <c r="G16" s="2" t="inlineStr">
        <is>
          <t>Confidentiality, Integrity, Availability</t>
        </is>
      </c>
      <c r="H16" s="2" t="inlineStr">
        <is>
          <t>Procurement / Supplier Management</t>
        </is>
      </c>
      <c r="I16" s="2" t="inlineStr">
        <is>
          <t>Contract; internal developers; production review</t>
        </is>
      </c>
      <c r="J16" s="5" t="n">
        <v>3</v>
      </c>
      <c r="K16" s="2" t="inlineStr">
        <is>
          <t>External code contributes to an internet-facing banking app.</t>
        </is>
      </c>
      <c r="L16" s="5" t="n">
        <v>5</v>
      </c>
      <c r="M16" s="2" t="inlineStr">
        <is>
          <t>Malicious/vulnerable code may compromise many customers.</t>
        </is>
      </c>
      <c r="N16" s="5">
        <f>J16*L16</f>
        <v/>
      </c>
      <c r="O16" s="5">
        <f>IF(N16&gt;=16,"Critical",IF(N16&gt;=11,"High",IF(N16&gt;=5,"Medium","Low")))</f>
        <v/>
      </c>
      <c r="P16" s="2" t="inlineStr">
        <is>
          <t>Mitigate / Transfer</t>
        </is>
      </c>
      <c r="Q16" s="2" t="inlineStr">
        <is>
          <t>Due diligence, security clauses, SBOM, repository control and testing</t>
        </is>
      </c>
      <c r="R16" s="2" t="inlineStr">
        <is>
          <t>A.5.19; A.5.20; A.5.21; A.5.22; A.8.30</t>
        </is>
      </c>
      <c r="S16" s="7" t="n">
        <v>400000</v>
      </c>
      <c r="T16" s="2" t="inlineStr">
        <is>
          <t>Procurement / Development</t>
        </is>
      </c>
      <c r="U16" s="2" t="inlineStr">
        <is>
          <t>31-Jan-2027</t>
        </is>
      </c>
      <c r="V16" s="6" t="n">
        <v>0</v>
      </c>
      <c r="W16" s="2" t="inlineStr">
        <is>
          <t>Planned</t>
        </is>
      </c>
      <c r="X16" s="5" t="n">
        <v>2</v>
      </c>
      <c r="Y16" s="2" t="inlineStr">
        <is>
          <t>Security gates and contract assurance reduce introduction risk.</t>
        </is>
      </c>
      <c r="Z16" s="5" t="n">
        <v>4</v>
      </c>
      <c r="AA16" s="5" t="inlineStr">
        <is>
          <t>Supplier compromise can still cause major impact.</t>
        </is>
      </c>
      <c r="AB16" s="5">
        <f>X16*Z16</f>
        <v/>
      </c>
      <c r="AC16" s="5">
        <f>IF(AB16&gt;=16,"Critical",IF(AB16&gt;=11,"High",IF(AB16&gt;=5,"Medium","Low")))</f>
        <v/>
      </c>
      <c r="AD16" s="2" t="inlineStr">
        <is>
          <t>Case study: external mobile-application developer is a key supplier; supplier/security governance requires strengthening.</t>
        </is>
      </c>
      <c r="AE16" s="2" t="inlineStr">
        <is>
          <t>Assess ATM maintenance and STC as critical suppliers too.</t>
        </is>
      </c>
    </row>
    <row r="17" ht="27.6" customHeight="1">
      <c r="A17" s="2" t="inlineStr">
        <is>
          <t>R-014</t>
        </is>
      </c>
      <c r="B17" s="2" t="inlineStr">
        <is>
          <t>Development</t>
        </is>
      </c>
      <c r="C17" s="2" t="inlineStr">
        <is>
          <t>Asset Inventory Ref 14 — Development and test environments</t>
        </is>
      </c>
      <c r="D17" s="2" t="inlineStr">
        <is>
          <t>Development/test/staging environments</t>
        </is>
      </c>
      <c r="E17" s="2" t="inlineStr">
        <is>
          <t>Exposure of production data or lateral movement</t>
        </is>
      </c>
      <c r="F17" s="2" t="inlineStr">
        <is>
          <t>Isolation is intended but masking and enforcement are not evidenced</t>
        </is>
      </c>
      <c r="G17" s="2" t="inlineStr">
        <is>
          <t>Confidentiality</t>
        </is>
      </c>
      <c r="H17" s="2" t="inlineStr">
        <is>
          <t>Development Management</t>
        </is>
      </c>
      <c r="I17" s="2" t="inlineStr">
        <is>
          <t>Separate VMware environments; GitLab permissions</t>
        </is>
      </c>
      <c r="J17" s="5" t="n">
        <v>3</v>
      </c>
      <c r="K17" s="2" t="inlineStr">
        <is>
          <t>Complex environments and developer access make error plausible.</t>
        </is>
      </c>
      <c r="L17" s="5" t="n">
        <v>5</v>
      </c>
      <c r="M17" s="2" t="inlineStr">
        <is>
          <t>Real customer data exposure would have severe consequences.</t>
        </is>
      </c>
      <c r="N17" s="5">
        <f>J17*L17</f>
        <v/>
      </c>
      <c r="O17" s="5">
        <f>IF(N17&gt;=16,"Critical",IF(N17&gt;=11,"High",IF(N17&gt;=5,"Medium","Low")))</f>
        <v/>
      </c>
      <c r="P17" s="2" t="inlineStr">
        <is>
          <t>Mitigate</t>
        </is>
      </c>
      <c r="Q17" s="2" t="inlineStr">
        <is>
          <t>Mask data, enforce network separation, restrict access and secure disposal</t>
        </is>
      </c>
      <c r="R17" s="2" t="inlineStr">
        <is>
          <t>A.8.11; A.8.31; A.8.33</t>
        </is>
      </c>
      <c r="S17" s="7" t="n">
        <v>350000</v>
      </c>
      <c r="T17" s="2" t="inlineStr">
        <is>
          <t>Development Manager</t>
        </is>
      </c>
      <c r="U17" s="2" t="inlineStr">
        <is>
          <t>31-Dec-2026</t>
        </is>
      </c>
      <c r="V17" s="6" t="n">
        <v>0</v>
      </c>
      <c r="W17" s="2" t="inlineStr">
        <is>
          <t>Planned</t>
        </is>
      </c>
      <c r="X17" s="5" t="n">
        <v>1</v>
      </c>
      <c r="Y17" s="2" t="inlineStr">
        <is>
          <t>Masking and enforced isolation make exposure unlikely.</t>
        </is>
      </c>
      <c r="Z17" s="5" t="n">
        <v>5</v>
      </c>
      <c r="AA17" s="5" t="inlineStr">
        <is>
          <t>Any real-data breach would remain severe.</t>
        </is>
      </c>
      <c r="AB17" s="5">
        <f>X17*Z17</f>
        <v/>
      </c>
      <c r="AC17" s="5">
        <f>IF(AB17&gt;=16,"Critical",IF(AB17&gt;=11,"High",IF(AB17&gt;=5,"Medium","Low")))</f>
        <v/>
      </c>
      <c r="AD17" s="2" t="inlineStr">
        <is>
          <t>Case study guidance: real production data used in testing; gap linked to A.8.11/A.8.31/A.8.33.</t>
        </is>
      </c>
      <c r="AE17" s="2" t="inlineStr">
        <is>
          <t>Production data requires CISO/Privacy approval and time limit.</t>
        </is>
      </c>
    </row>
    <row r="18" ht="41.4" customHeight="1">
      <c r="A18" s="2" t="inlineStr">
        <is>
          <t>R-015</t>
        </is>
      </c>
      <c r="B18" s="2" t="inlineStr">
        <is>
          <t>Information handling</t>
        </is>
      </c>
      <c r="C18" s="2" t="inlineStr">
        <is>
          <t>Asset Inventory Ref 15 — Information handling / removable media</t>
        </is>
      </c>
      <c r="D18" s="2" t="inlineStr">
        <is>
          <t>Endpoints, printing and removable media</t>
        </is>
      </c>
      <c r="E18" s="2" t="inlineStr">
        <is>
          <t>Malicious or accidental exfiltration</t>
        </is>
      </c>
      <c r="F18" s="2" t="inlineStr">
        <is>
          <t>No comprehensive DLP/USB/print monitoring baseline</t>
        </is>
      </c>
      <c r="G18" s="2" t="inlineStr">
        <is>
          <t>Confidentiality</t>
        </is>
      </c>
      <c r="H18" s="2" t="inlineStr">
        <is>
          <t>Information Security Management</t>
        </is>
      </c>
      <c r="I18" s="2" t="inlineStr">
        <is>
          <t>Endpoint protection; email/web controls; physical security</t>
        </is>
      </c>
      <c r="J18" s="5" t="n">
        <v>3</v>
      </c>
      <c r="K18" s="2" t="inlineStr">
        <is>
          <t>Large workforce and sensitive datasets create credible insider risk.</t>
        </is>
      </c>
      <c r="L18" s="5" t="n">
        <v>5</v>
      </c>
      <c r="M18" s="2" t="inlineStr">
        <is>
          <t>Customer, employee or transaction information may be exposed.</t>
        </is>
      </c>
      <c r="N18" s="5">
        <f>J18*L18</f>
        <v/>
      </c>
      <c r="O18" s="5">
        <f>IF(N18&gt;=16,"Critical",IF(N18&gt;=11,"High",IF(N18&gt;=5,"Medium","Low")))</f>
        <v/>
      </c>
      <c r="P18" s="2" t="inlineStr">
        <is>
          <t>Mitigate</t>
        </is>
      </c>
      <c r="Q18" s="2" t="inlineStr">
        <is>
          <t>DLP, USB control, print logging, awareness and behavioural monitoring</t>
        </is>
      </c>
      <c r="R18" s="2" t="inlineStr">
        <is>
          <t>A.5.10; A.7.10; A.8.12</t>
        </is>
      </c>
      <c r="S18" s="7" t="n">
        <v>1200000</v>
      </c>
      <c r="T18" s="2" t="inlineStr">
        <is>
          <t>CISO / IT Support</t>
        </is>
      </c>
      <c r="U18" s="2" t="inlineStr">
        <is>
          <t>31-Mar-2027</t>
        </is>
      </c>
      <c r="V18" s="6" t="n">
        <v>0</v>
      </c>
      <c r="W18" s="2" t="inlineStr">
        <is>
          <t>Planned</t>
        </is>
      </c>
      <c r="X18" s="5" t="n">
        <v>2</v>
      </c>
      <c r="Y18" s="2" t="inlineStr">
        <is>
          <t>Layered controls reduce opportunity and improve detection.</t>
        </is>
      </c>
      <c r="Z18" s="5" t="n">
        <v>4</v>
      </c>
      <c r="AA18" s="5" t="inlineStr">
        <is>
          <t>Authorized insiders can still cause major disclosure.</t>
        </is>
      </c>
      <c r="AB18" s="5">
        <f>X18*Z18</f>
        <v/>
      </c>
      <c r="AC18" s="5">
        <f>IF(AB18&gt;=16,"Critical",IF(AB18&gt;=11,"High",IF(AB18&gt;=5,"Medium","Low")))</f>
        <v/>
      </c>
      <c r="AD18" s="2" t="inlineStr">
        <is>
          <t>Case study: sensitive bank/customer information across endpoints and removable/printing channels; DLP maturity gap.</t>
        </is>
      </c>
      <c r="AE18" s="2" t="inlineStr">
        <is>
          <t>Monitoring must be proportionate and legally reviewed.</t>
        </is>
      </c>
    </row>
    <row r="19" ht="41.4" customHeight="1">
      <c r="A19" s="2" t="inlineStr">
        <is>
          <t>R-016</t>
        </is>
      </c>
      <c r="B19" s="2" t="inlineStr">
        <is>
          <t>Resilience</t>
        </is>
      </c>
      <c r="C19" s="2" t="inlineStr">
        <is>
          <t>Asset Inventory Ref 16 — Backups / disaster recovery</t>
        </is>
      </c>
      <c r="D19" s="2" t="inlineStr">
        <is>
          <t>Backups and Jeddah DR site</t>
        </is>
      </c>
      <c r="E19" s="2" t="inlineStr">
        <is>
          <t>Restore/failover failure</t>
        </is>
      </c>
      <c r="F19" s="2" t="inlineStr">
        <is>
          <t>Capacity and end-to-end recovery evidence are incomplete</t>
        </is>
      </c>
      <c r="G19" s="2" t="inlineStr">
        <is>
          <t>Integrity, Availability</t>
        </is>
      </c>
      <c r="H19" s="2" t="inlineStr">
        <is>
          <t>Business Continuity Management</t>
        </is>
      </c>
      <c r="I19" s="2" t="inlineStr">
        <is>
          <t>Veritas NetBackup; tape library; DR replication</t>
        </is>
      </c>
      <c r="J19" s="5" t="n">
        <v>3</v>
      </c>
      <c r="K19" s="2" t="inlineStr">
        <is>
          <t>Technology exists but successful service recovery is not evidenced.</t>
        </is>
      </c>
      <c r="L19" s="5" t="n">
        <v>5</v>
      </c>
      <c r="M19" s="2" t="inlineStr">
        <is>
          <t>Prolonged systemic outage and transaction reconciliation impact.</t>
        </is>
      </c>
      <c r="N19" s="5">
        <f>J19*L19</f>
        <v/>
      </c>
      <c r="O19" s="5">
        <f>IF(N19&gt;=16,"Critical",IF(N19&gt;=11,"High",IF(N19&gt;=5,"Medium","Low")))</f>
        <v/>
      </c>
      <c r="P19" s="2" t="inlineStr">
        <is>
          <t>Mitigate</t>
        </is>
      </c>
      <c r="Q19" s="2" t="inlineStr">
        <is>
          <t>Immutable 3-2-1 copies, quarterly restores and annual full failover</t>
        </is>
      </c>
      <c r="R19" s="2" t="inlineStr">
        <is>
          <t>A.5.29; A.5.30; A.8.13; A.8.14</t>
        </is>
      </c>
      <c r="S19" s="7" t="n">
        <v>1400000</v>
      </c>
      <c r="T19" s="2" t="inlineStr">
        <is>
          <t>BCM Manager</t>
        </is>
      </c>
      <c r="U19" s="2" t="inlineStr">
        <is>
          <t>31-Mar-2027</t>
        </is>
      </c>
      <c r="V19" s="6" t="n">
        <v>0</v>
      </c>
      <c r="W19" s="2" t="inlineStr">
        <is>
          <t>Planned</t>
        </is>
      </c>
      <c r="X19" s="5" t="n">
        <v>1</v>
      </c>
      <c r="Y19" s="2" t="inlineStr">
        <is>
          <t>Frequent tested recovery reduces failure likelihood.</t>
        </is>
      </c>
      <c r="Z19" s="5" t="n">
        <v>5</v>
      </c>
      <c r="AA19" s="5" t="inlineStr">
        <is>
          <t>A regional or cyber crisis can still have severe impact.</t>
        </is>
      </c>
      <c r="AB19" s="5">
        <f>X19*Z19</f>
        <v/>
      </c>
      <c r="AC19" s="5">
        <f>IF(AB19&gt;=16,"Critical",IF(AB19&gt;=11,"High",IF(AB19&gt;=5,"Medium","Low")))</f>
        <v/>
      </c>
      <c r="AD19" s="2" t="inlineStr">
        <is>
          <t>Case study: Jeddah DR site, backup infrastructure and continuity dependencies require tested recoverability.</t>
        </is>
      </c>
      <c r="AE19" s="2" t="inlineStr">
        <is>
          <t>Core RTO 2h/RPO 15m; payments RTO 1h/RPO ≤5m.</t>
        </is>
      </c>
    </row>
    <row r="20" ht="27.6" customHeight="1">
      <c r="A20" s="2" t="inlineStr">
        <is>
          <t>R-017</t>
        </is>
      </c>
      <c r="B20" s="2" t="inlineStr">
        <is>
          <t>Physical</t>
        </is>
      </c>
      <c r="C20" s="2" t="inlineStr">
        <is>
          <t>Asset Inventory Ref 17 — Branches / ATMs / equipment rooms</t>
        </is>
      </c>
      <c r="D20" s="2" t="inlineStr">
        <is>
          <t>Branches, ATMs and equipment rooms</t>
        </is>
      </c>
      <c r="E20" s="2" t="inlineStr">
        <is>
          <t>Intrusion or tampering</t>
        </is>
      </c>
      <c r="F20" s="2" t="inlineStr">
        <is>
          <t>Distributed estate and inconsistent review of access/tamper evidence</t>
        </is>
      </c>
      <c r="G20" s="2" t="inlineStr">
        <is>
          <t>Confidentiality, Integrity, Availability</t>
        </is>
      </c>
      <c r="H20" s="2" t="inlineStr">
        <is>
          <t>Facilities Management</t>
        </is>
      </c>
      <c r="I20" s="2" t="inlineStr">
        <is>
          <t>Cards/biometrics at HQ/DC; CCTV; guards; ATM maintenance</t>
        </is>
      </c>
      <c r="J20" s="5" t="n">
        <v>3</v>
      </c>
      <c r="K20" s="2" t="inlineStr">
        <is>
          <t>Many public and distributed locations increase exposure.</t>
        </is>
      </c>
      <c r="L20" s="5" t="n">
        <v>4</v>
      </c>
      <c r="M20" s="2" t="inlineStr">
        <is>
          <t>Tampering may enable fraud or service compromise.</t>
        </is>
      </c>
      <c r="N20" s="5">
        <f>J20*L20</f>
        <v/>
      </c>
      <c r="O20" s="5">
        <f>IF(N20&gt;=16,"Critical",IF(N20&gt;=11,"High",IF(N20&gt;=5,"Medium","Low")))</f>
        <v/>
      </c>
      <c r="P20" s="2" t="inlineStr">
        <is>
          <t>Mitigate / Transfer</t>
        </is>
      </c>
      <c r="Q20" s="2" t="inlineStr">
        <is>
          <t>Access recertification, tamper sensors, CCTV retention and inspections</t>
        </is>
      </c>
      <c r="R20" s="2" t="inlineStr">
        <is>
          <t>A.7.1; A.7.2; A.7.4; A.7.8; A.7.9</t>
        </is>
      </c>
      <c r="S20" s="7" t="n">
        <v>850000</v>
      </c>
      <c r="T20" s="2" t="inlineStr">
        <is>
          <t>Facilities Manager</t>
        </is>
      </c>
      <c r="U20" s="2" t="inlineStr">
        <is>
          <t>31-Jan-2027</t>
        </is>
      </c>
      <c r="V20" s="6" t="n">
        <v>0</v>
      </c>
      <c r="W20" s="2" t="inlineStr">
        <is>
          <t>Planned</t>
        </is>
      </c>
      <c r="X20" s="5" t="n">
        <v>2</v>
      </c>
      <c r="Y20" s="2" t="inlineStr">
        <is>
          <t>Monitoring and inspection reduce successful intrusion.</t>
        </is>
      </c>
      <c r="Z20" s="5" t="n">
        <v>4</v>
      </c>
      <c r="AA20" s="5" t="inlineStr">
        <is>
          <t>A successful physical compromise remains major.</t>
        </is>
      </c>
      <c r="AB20" s="5">
        <f>X20*Z20</f>
        <v/>
      </c>
      <c r="AC20" s="5">
        <f>IF(AB20&gt;=16,"Critical",IF(AB20&gt;=11,"High",IF(AB20&gt;=5,"Medium","Low")))</f>
        <v/>
      </c>
      <c r="AD20" s="2" t="inlineStr">
        <is>
          <t>Case study: 25 branches, 150 ATMs and physical security infrastructure are in ISMS scope.</t>
        </is>
      </c>
      <c r="AE20" s="2" t="inlineStr">
        <is>
          <t>Supplier maintenance access must be logged and escorted.</t>
        </is>
      </c>
    </row>
    <row r="21" ht="41.4" customHeight="1">
      <c r="A21" s="2" t="inlineStr">
        <is>
          <t>R-018</t>
        </is>
      </c>
      <c r="B21" s="2" t="inlineStr">
        <is>
          <t>Security operations</t>
        </is>
      </c>
      <c r="C21" s="2" t="inlineStr">
        <is>
          <t>Asset Inventory Ref 18 — SOC / central security logs</t>
        </is>
      </c>
      <c r="D21" s="2" t="inlineStr">
        <is>
          <t>Central logs and SOC</t>
        </is>
      </c>
      <c r="E21" s="2" t="inlineStr">
        <is>
          <t>Delayed detection and containment</t>
        </is>
      </c>
      <c r="F21" s="2" t="inlineStr">
        <is>
          <t>No SIEM; manual analysis and incomplete source coverage</t>
        </is>
      </c>
      <c r="G21" s="2" t="inlineStr">
        <is>
          <t>Confidentiality, Integrity, Availability</t>
        </is>
      </c>
      <c r="H21" s="2" t="inlineStr">
        <is>
          <t>Security Operations / SOC</t>
        </is>
      </c>
      <c r="I21" s="2" t="inlineStr">
        <is>
          <t>Central Syslog; SOC with eight analysts; device logs</t>
        </is>
      </c>
      <c r="J21" s="5" t="n">
        <v>4</v>
      </c>
      <c r="K21" s="2" t="inlineStr">
        <is>
          <t>Prior outage/BEC detection took 45 minutes to two hours.</t>
        </is>
      </c>
      <c r="L21" s="5" t="n">
        <v>5</v>
      </c>
      <c r="M21" s="2" t="inlineStr">
        <is>
          <t>Delayed containment can expand breach, fraud and outage.</t>
        </is>
      </c>
      <c r="N21" s="5">
        <f>J21*L21</f>
        <v/>
      </c>
      <c r="O21" s="5">
        <f>IF(N21&gt;=16,"Critical",IF(N21&gt;=11,"High",IF(N21&gt;=5,"Medium","Low")))</f>
        <v/>
      </c>
      <c r="P21" s="2" t="inlineStr">
        <is>
          <t>Mitigate</t>
        </is>
      </c>
      <c r="Q21" s="2" t="inlineStr">
        <is>
          <t>Deploy SIEM, priority use cases, 24x7 on-call and response SLAs</t>
        </is>
      </c>
      <c r="R21" s="2" t="inlineStr">
        <is>
          <t>A.5.25; A.8.15; A.8.16; A.8.17</t>
        </is>
      </c>
      <c r="S21" s="7" t="n">
        <v>2200000</v>
      </c>
      <c r="T21" s="2" t="inlineStr">
        <is>
          <t>SOC Manager</t>
        </is>
      </c>
      <c r="U21" s="2" t="inlineStr">
        <is>
          <t>31-Jan-2027</t>
        </is>
      </c>
      <c r="V21" s="6" t="n">
        <v>0</v>
      </c>
      <c r="W21" s="2" t="inlineStr">
        <is>
          <t>Planned</t>
        </is>
      </c>
      <c r="X21" s="5" t="n">
        <v>2</v>
      </c>
      <c r="Y21" s="2" t="inlineStr">
        <is>
          <t>Central correlation and paging reduce detection delay.</t>
        </is>
      </c>
      <c r="Z21" s="5" t="n">
        <v>4</v>
      </c>
      <c r="AA21" s="5" t="inlineStr">
        <is>
          <t>Novel attacks may still evade detection and cause major impact.</t>
        </is>
      </c>
      <c r="AB21" s="5">
        <f>X21*Z21</f>
        <v/>
      </c>
      <c r="AC21" s="5">
        <f>IF(AB21&gt;=16,"Critical",IF(AB21&gt;=11,"High",IF(AB21&gt;=5,"Medium","Low")))</f>
        <v/>
      </c>
      <c r="AD21" s="2" t="inlineStr">
        <is>
          <t>Case study: central Syslog exists but no SIEM; analysis is manual; earlier incidents show detection delay.</t>
        </is>
      </c>
      <c r="AE21" s="2" t="inlineStr">
        <is>
          <t>Coverage target ≥95%; critical MTTD &lt;15 minutes.</t>
        </is>
      </c>
    </row>
    <row r="22" ht="55.2" customHeight="1">
      <c r="A22" s="2" t="inlineStr">
        <is>
          <t>R-019</t>
        </is>
      </c>
      <c r="B22" s="2" t="inlineStr">
        <is>
          <t>Privacy</t>
        </is>
      </c>
      <c r="C22" s="2" t="inlineStr">
        <is>
          <t>Asset Inventory Ref 19 — Customer and employee PII</t>
        </is>
      </c>
      <c r="D22" s="2" t="inlineStr">
        <is>
          <t>Customer and employee PII</t>
        </is>
      </c>
      <c r="E22" s="2" t="inlineStr">
        <is>
          <t>Regulatory/privacy process failure</t>
        </is>
      </c>
      <c r="F22" s="2" t="inlineStr">
        <is>
          <t>Manual DSAR, unclear retention, no automated discovery/deletion or DPIA</t>
        </is>
      </c>
      <c r="G22" s="2" t="inlineStr">
        <is>
          <t>Confidentiality, Compliance</t>
        </is>
      </c>
      <c r="H22" s="2" t="inlineStr">
        <is>
          <t>Legal / Privacy / Compliance</t>
        </is>
      </c>
      <c r="I22" s="2" t="inlineStr">
        <is>
          <t>Onboarding consent; Legal/Compliance review; access controls</t>
        </is>
      </c>
      <c r="J22" s="5" t="n">
        <v>4</v>
      </c>
      <c r="K22" s="2" t="inlineStr">
        <is>
          <t>Known process gaps affect large volumes of PII.</t>
        </is>
      </c>
      <c r="L22" s="5" t="n">
        <v>5</v>
      </c>
      <c r="M22" s="2" t="inlineStr">
        <is>
          <t>PDPL/SDAIA breach, customer harm, penalties and reputation.</t>
        </is>
      </c>
      <c r="N22" s="5">
        <f>J22*L22</f>
        <v/>
      </c>
      <c r="O22" s="5">
        <f>IF(N22&gt;=16,"Critical",IF(N22&gt;=11,"High",IF(N22&gt;=5,"Medium","Low")))</f>
        <v/>
      </c>
      <c r="P22" s="2" t="inlineStr">
        <is>
          <t>Mitigate</t>
        </is>
      </c>
      <c r="Q22" s="2" t="inlineStr">
        <is>
          <t>PII inventory, retention schedule, DSAR workflow, DPIA and secure deletion</t>
        </is>
      </c>
      <c r="R22" s="2" t="inlineStr">
        <is>
          <t>A.5.31; A.5.33; A.5.34; A.8.10</t>
        </is>
      </c>
      <c r="S22" s="7" t="n">
        <v>900000</v>
      </c>
      <c r="T22" s="2" t="inlineStr">
        <is>
          <t>Legal / Privacy Manager</t>
        </is>
      </c>
      <c r="U22" s="2" t="inlineStr">
        <is>
          <t>28-Feb-2027</t>
        </is>
      </c>
      <c r="V22" s="6" t="n">
        <v>0</v>
      </c>
      <c r="W22" s="2" t="inlineStr">
        <is>
          <t>Planned</t>
        </is>
      </c>
      <c r="X22" s="5" t="n">
        <v>2</v>
      </c>
      <c r="Y22" s="2" t="inlineStr">
        <is>
          <t>Governed lifecycle and automation reduce noncompliance.</t>
        </is>
      </c>
      <c r="Z22" s="5" t="n">
        <v>4</v>
      </c>
      <c r="AA22" s="5" t="inlineStr">
        <is>
          <t>Large-scale PII processing retains major inherent consequence.</t>
        </is>
      </c>
      <c r="AB22" s="5">
        <f>X22*Z22</f>
        <v/>
      </c>
      <c r="AC22" s="5">
        <f>IF(AB22&gt;=16,"Critical",IF(AB22&gt;=11,"High",IF(AB22&gt;=5,"Medium","Low")))</f>
        <v/>
      </c>
      <c r="AD22" s="2" t="inlineStr">
        <is>
          <t>Case-study annex/privacy context: large volumes of customer/employee PII; retention/deletion/privacy processes require formalization.</t>
        </is>
      </c>
      <c r="AE22" s="2" t="inlineStr">
        <is>
          <t>Legal must confirm exact statutory deadlines and retention.</t>
        </is>
      </c>
    </row>
    <row r="23" ht="41.4" customHeight="1">
      <c r="A23" s="2" t="inlineStr">
        <is>
          <t>R-020</t>
        </is>
      </c>
      <c r="B23" s="2" t="inlineStr">
        <is>
          <t>Software lifecycle</t>
        </is>
      </c>
      <c r="C23" s="2" t="inlineStr">
        <is>
          <t>Asset Inventory Ref 20 — Bank software / intellectual property</t>
        </is>
      </c>
      <c r="D23" s="2" t="inlineStr">
        <is>
          <t>Bank software and open-source components</t>
        </is>
      </c>
      <c r="E23" s="2" t="inlineStr">
        <is>
          <t>Unlicensed or vulnerable software</t>
        </is>
      </c>
      <c r="F23" s="2" t="inlineStr">
        <is>
          <t>No comprehensive licence audit, SCA or bank IP standard</t>
        </is>
      </c>
      <c r="G23" s="2" t="inlineStr">
        <is>
          <t>Confidentiality, Integrity, Legal</t>
        </is>
      </c>
      <c r="H23" s="2" t="inlineStr">
        <is>
          <t>Development / IT Management</t>
        </is>
      </c>
      <c r="I23" s="2" t="inlineStr">
        <is>
          <t>GitLab Enterprise; development team; vendor contracts</t>
        </is>
      </c>
      <c r="J23" s="5" t="n">
        <v>3</v>
      </c>
      <c r="K23" s="2" t="inlineStr">
        <is>
          <t>Open-source and legacy software are used without complete evidence.</t>
        </is>
      </c>
      <c r="L23" s="5" t="n">
        <v>4</v>
      </c>
      <c r="M23" s="2" t="inlineStr">
        <is>
          <t>Security exploit, legal claim or unsupported software may disrupt service.</t>
        </is>
      </c>
      <c r="N23" s="5">
        <f>J23*L23</f>
        <v/>
      </c>
      <c r="O23" s="5">
        <f>IF(N23&gt;=16,"Critical",IF(N23&gt;=11,"High",IF(N23&gt;=5,"Medium","Low")))</f>
        <v/>
      </c>
      <c r="P23" s="2" t="inlineStr">
        <is>
          <t>Mitigate</t>
        </is>
      </c>
      <c r="Q23" s="2" t="inlineStr">
        <is>
          <t>Allow-list, SCA, licence audit, IP rules and secure coding standard</t>
        </is>
      </c>
      <c r="R23" s="2" t="inlineStr">
        <is>
          <t>A.5.32; A.8.19; A.8.25; A.8.28</t>
        </is>
      </c>
      <c r="S23" s="7" t="n">
        <v>450000</v>
      </c>
      <c r="T23" s="2" t="inlineStr">
        <is>
          <t>Development Manager</t>
        </is>
      </c>
      <c r="U23" s="2" t="inlineStr">
        <is>
          <t>31-Jan-2027</t>
        </is>
      </c>
      <c r="V23" s="6" t="n">
        <v>0</v>
      </c>
      <c r="W23" s="2" t="inlineStr">
        <is>
          <t>Planned</t>
        </is>
      </c>
      <c r="X23" s="5" t="n">
        <v>2</v>
      </c>
      <c r="Y23" s="2" t="inlineStr">
        <is>
          <t>Inventory and automated SCA reduce undetected exposure.</t>
        </is>
      </c>
      <c r="Z23" s="5" t="n">
        <v>3</v>
      </c>
      <c r="AA23" s="5" t="inlineStr">
        <is>
          <t>Residual legal/technical effect is moderate with controls.</t>
        </is>
      </c>
      <c r="AB23" s="5">
        <f>X23*Z23</f>
        <v/>
      </c>
      <c r="AC23" s="5">
        <f>IF(AB23&gt;=16,"Critical",IF(AB23&gt;=11,"High",IF(AB23&gt;=5,"Medium","Low")))</f>
        <v/>
      </c>
      <c r="AD23" s="2" t="inlineStr">
        <is>
          <t>Case-study annex A.5.32: software/IP-rights and licence-management policy is unclear.</t>
        </is>
      </c>
      <c r="AE23" s="2" t="inlineStr">
        <is>
          <t>Track SBOMs and licence obligations per release.</t>
        </is>
      </c>
    </row>
  </sheetData>
  <mergeCells count="1">
    <mergeCell ref="A1:AE1"/>
  </mergeCells>
  <conditionalFormatting sqref="O4:O23">
    <cfRule type="expression" priority="1" dxfId="3">
      <formula>O4="Critical"</formula>
    </cfRule>
    <cfRule type="expression" priority="3" dxfId="2">
      <formula>O4="High"</formula>
    </cfRule>
    <cfRule type="expression" priority="5" dxfId="1">
      <formula>O4="Medium"</formula>
    </cfRule>
    <cfRule type="expression" priority="7" dxfId="0">
      <formula>O4="Low"</formula>
    </cfRule>
  </conditionalFormatting>
  <conditionalFormatting sqref="AC4:AC23">
    <cfRule type="expression" priority="2" dxfId="3">
      <formula>AC4="Critical"</formula>
    </cfRule>
    <cfRule type="expression" priority="4" dxfId="2">
      <formula>AC4="High"</formula>
    </cfRule>
    <cfRule type="expression" priority="6" dxfId="1">
      <formula>AC4="Medium"</formula>
    </cfRule>
    <cfRule type="expression" priority="8" dxfId="0">
      <formula>AC4="Low"</formula>
    </cfRule>
  </conditionalFormatting>
  <dataValidations count="3">
    <dataValidation sqref="J4:J23 L4:L23 X4:X23 Z4:Z23" showDropDown="0" showInputMessage="0" showErrorMessage="0" allowBlank="0" type="list">
      <formula1>"1,2,3,4,5"</formula1>
    </dataValidation>
    <dataValidation sqref="P4:P23" showDropDown="0" showInputMessage="0" showErrorMessage="0" allowBlank="0" type="list">
      <formula1>"Accept,Avoid,Mitigate,Transfer,Mitigate / Transfer"</formula1>
    </dataValidation>
    <dataValidation sqref="W4:W23" showDropDown="0" showInputMessage="0" showErrorMessage="0" allowBlank="0" type="list">
      <formula1>"Planned,In Progress,Implemented,Verified,On Hold,Overdue"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3.8"/>
  <cols>
    <col width="20" customWidth="1" min="1" max="1"/>
    <col width="18" customWidth="1" min="2" max="3"/>
    <col width="48" customWidth="1" min="4" max="4"/>
    <col width="28" customWidth="1" min="6" max="6"/>
    <col width="22" customWidth="1" min="7" max="7"/>
  </cols>
  <sheetData>
    <row r="1" ht="21" customHeight="1">
      <c r="A1" s="14" t="inlineStr">
        <is>
          <t>BANK ALFAQ DIGITAL — RISK PORTFOLIO SUMMARY</t>
        </is>
      </c>
    </row>
    <row r="3" ht="27.6" customHeight="1">
      <c r="A3" s="3" t="inlineStr">
        <is>
          <t>Risk Level</t>
        </is>
      </c>
      <c r="B3" s="3" t="inlineStr">
        <is>
          <t>Current Count</t>
        </is>
      </c>
      <c r="C3" s="3" t="inlineStr">
        <is>
          <t>Projected Residual Count</t>
        </is>
      </c>
      <c r="D3" s="3" t="inlineStr">
        <is>
          <t>Management Position</t>
        </is>
      </c>
      <c r="E3" s="2" t="n"/>
      <c r="F3" s="3" t="inlineStr">
        <is>
          <t>KPI</t>
        </is>
      </c>
      <c r="G3" s="3" t="inlineStr">
        <is>
          <t>Value</t>
        </is>
      </c>
    </row>
    <row r="4">
      <c r="A4" s="2" t="inlineStr">
        <is>
          <t>Critical</t>
        </is>
      </c>
      <c r="B4" s="2">
        <f>COUNTIF('Risk Assessment'!$O$4:$O$23,A4)</f>
        <v/>
      </c>
      <c r="C4" s="2">
        <f>COUNTIF('Risk Assessment'!$AC$4:$AC$23,A4)</f>
        <v/>
      </c>
      <c r="D4" s="2" t="inlineStr">
        <is>
          <t>Immediate treatment and executive visibility.</t>
        </is>
      </c>
      <c r="E4" s="2" t="n"/>
      <c r="F4" s="2" t="inlineStr">
        <is>
          <t>Total Risks</t>
        </is>
      </c>
      <c r="G4" s="2">
        <f>COUNTA('Risk Assessment'!$A$4:$A$23)</f>
        <v/>
      </c>
    </row>
    <row r="5">
      <c r="A5" s="2" t="inlineStr">
        <is>
          <t>High</t>
        </is>
      </c>
      <c r="B5" s="2">
        <f>COUNTIF('Risk Assessment'!$O$4:$O$23,A5)</f>
        <v/>
      </c>
      <c r="C5" s="2">
        <f>COUNTIF('Risk Assessment'!$AC$4:$AC$23,A5)</f>
        <v/>
      </c>
      <c r="D5" s="2" t="inlineStr">
        <is>
          <t>Treatment required and formal governance oversight.</t>
        </is>
      </c>
      <c r="E5" s="2" t="n"/>
      <c r="F5" s="2" t="inlineStr">
        <is>
          <t>Current Critical + High</t>
        </is>
      </c>
      <c r="G5" s="2">
        <f>B4+B5</f>
        <v/>
      </c>
    </row>
    <row r="6" ht="27.6" customHeight="1">
      <c r="A6" s="2" t="inlineStr">
        <is>
          <t>Medium</t>
        </is>
      </c>
      <c r="B6" s="2">
        <f>COUNTIF('Risk Assessment'!$O$4:$O$23,A6)</f>
        <v/>
      </c>
      <c r="C6" s="2">
        <f>COUNTIF('Risk Assessment'!$AC$4:$AC$23,A6)</f>
        <v/>
      </c>
      <c r="D6" s="2" t="inlineStr">
        <is>
          <t>Treatment plan / approval and quarterly monitoring.</t>
        </is>
      </c>
      <c r="E6" s="2" t="n"/>
      <c r="F6" s="2" t="inlineStr">
        <is>
          <t>Projected Residual Critical + High</t>
        </is>
      </c>
      <c r="G6" s="2">
        <f>C4+C5</f>
        <v/>
      </c>
    </row>
    <row r="7" ht="27.6" customHeight="1">
      <c r="A7" s="2" t="inlineStr">
        <is>
          <t>Low</t>
        </is>
      </c>
      <c r="B7" s="2">
        <f>COUNTIF('Risk Assessment'!$O$4:$O$23,A7)</f>
        <v/>
      </c>
      <c r="C7" s="2">
        <f>COUNTIF('Risk Assessment'!$AC$4:$AC$23,A7)</f>
        <v/>
      </c>
      <c r="D7" s="2" t="inlineStr">
        <is>
          <t>May be accepted with documented rationale and monitoring.</t>
        </is>
      </c>
      <c r="E7" s="2" t="n"/>
      <c r="F7" s="2" t="inlineStr">
        <is>
          <t>Treatments Planned</t>
        </is>
      </c>
      <c r="G7" s="2">
        <f>COUNTIF('Risk Assessment'!$W$4:$W$23,"Planned")</f>
        <v/>
      </c>
    </row>
    <row r="8">
      <c r="A8" s="2" t="n"/>
      <c r="B8" s="2" t="inlineStr">
        <is>
          <t>14 September 2026</t>
        </is>
      </c>
      <c r="C8" s="2" t="n"/>
      <c r="D8" s="2" t="n"/>
      <c r="E8" s="2" t="n"/>
      <c r="F8" s="2" t="inlineStr">
        <is>
          <t>Total Planning Cost (SAR)</t>
        </is>
      </c>
      <c r="G8" s="7">
        <f>SUM('Risk Assessment'!$S$4:$S$23)</f>
        <v/>
      </c>
    </row>
    <row r="9">
      <c r="A9" s="2" t="n"/>
      <c r="B9" s="2" t="n"/>
      <c r="C9" s="2" t="n"/>
      <c r="D9" s="2" t="n"/>
      <c r="E9" s="2" t="n"/>
      <c r="F9" s="2" t="inlineStr">
        <is>
          <t>Assessment Date</t>
        </is>
      </c>
      <c r="G9" s="2" t="inlineStr">
        <is>
          <t>14 September 2026</t>
        </is>
      </c>
    </row>
    <row r="11">
      <c r="A11" s="15" t="inlineStr">
        <is>
          <t>5×5 RISK MATRIX — SCORE / LEVEL</t>
        </is>
      </c>
    </row>
    <row r="12" ht="27.15" customHeight="1">
      <c r="A12" s="8" t="n">
        <v>5</v>
      </c>
      <c r="B12" s="9" t="inlineStr">
        <is>
          <t>5
Medium</t>
        </is>
      </c>
      <c r="C12" s="9" t="inlineStr">
        <is>
          <t>10
Medium</t>
        </is>
      </c>
      <c r="D12" s="10" t="inlineStr">
        <is>
          <t>15
High</t>
        </is>
      </c>
      <c r="E12" s="11" t="inlineStr">
        <is>
          <t>20
Critical</t>
        </is>
      </c>
      <c r="F12" s="11" t="inlineStr">
        <is>
          <t>25
Critical</t>
        </is>
      </c>
    </row>
    <row r="13" ht="27.15" customHeight="1">
      <c r="A13" s="8" t="n">
        <v>4</v>
      </c>
      <c r="B13" s="12" t="inlineStr">
        <is>
          <t>4
Low</t>
        </is>
      </c>
      <c r="C13" s="9" t="inlineStr">
        <is>
          <t>8
Medium</t>
        </is>
      </c>
      <c r="D13" s="10" t="inlineStr">
        <is>
          <t>12
High</t>
        </is>
      </c>
      <c r="E13" s="11" t="inlineStr">
        <is>
          <t>16
Critical</t>
        </is>
      </c>
      <c r="F13" s="11" t="inlineStr">
        <is>
          <t>20
Critical</t>
        </is>
      </c>
    </row>
    <row r="14" ht="27.15" customHeight="1">
      <c r="A14" s="8" t="n">
        <v>3</v>
      </c>
      <c r="B14" s="12" t="inlineStr">
        <is>
          <t>3
Low</t>
        </is>
      </c>
      <c r="C14" s="9" t="inlineStr">
        <is>
          <t>6
Medium</t>
        </is>
      </c>
      <c r="D14" s="9" t="inlineStr">
        <is>
          <t>9
Medium</t>
        </is>
      </c>
      <c r="E14" s="10" t="inlineStr">
        <is>
          <t>12
High</t>
        </is>
      </c>
      <c r="F14" s="10" t="inlineStr">
        <is>
          <t>15
High</t>
        </is>
      </c>
    </row>
    <row r="15" ht="27.15" customHeight="1">
      <c r="A15" s="8" t="n">
        <v>2</v>
      </c>
      <c r="B15" s="12" t="inlineStr">
        <is>
          <t>2
Low</t>
        </is>
      </c>
      <c r="C15" s="12" t="inlineStr">
        <is>
          <t>4
Low</t>
        </is>
      </c>
      <c r="D15" s="9" t="inlineStr">
        <is>
          <t>6
Medium</t>
        </is>
      </c>
      <c r="E15" s="9" t="inlineStr">
        <is>
          <t>8
Medium</t>
        </is>
      </c>
      <c r="F15" s="9" t="inlineStr">
        <is>
          <t>10
Medium</t>
        </is>
      </c>
    </row>
    <row r="16" ht="27.15" customHeight="1">
      <c r="A16" s="8" t="n">
        <v>1</v>
      </c>
      <c r="B16" s="12" t="inlineStr">
        <is>
          <t>1
Low</t>
        </is>
      </c>
      <c r="C16" s="12" t="inlineStr">
        <is>
          <t>2
Low</t>
        </is>
      </c>
      <c r="D16" s="12" t="inlineStr">
        <is>
          <t>3
Low</t>
        </is>
      </c>
      <c r="E16" s="12" t="inlineStr">
        <is>
          <t>4
Low</t>
        </is>
      </c>
      <c r="F16" s="9" t="inlineStr">
        <is>
          <t>5
Medium</t>
        </is>
      </c>
    </row>
    <row r="17">
      <c r="A17" t="inlineStr">
        <is>
          <t>Impact ↓ / Likelihood →</t>
        </is>
      </c>
      <c r="B17" s="8" t="n">
        <v>1</v>
      </c>
      <c r="C17" s="8" t="n">
        <v>2</v>
      </c>
      <c r="D17" s="8" t="n">
        <v>3</v>
      </c>
      <c r="E17" s="8" t="n">
        <v>4</v>
      </c>
      <c r="F17" s="8" t="n">
        <v>5</v>
      </c>
    </row>
  </sheetData>
  <mergeCells count="2">
    <mergeCell ref="A11:G11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3.8"/>
  <cols>
    <col width="24" customWidth="1" min="1" max="2"/>
    <col width="65" customWidth="1" min="3" max="3"/>
    <col width="18" customWidth="1" min="5" max="5"/>
    <col width="24" customWidth="1" min="6" max="6"/>
  </cols>
  <sheetData>
    <row r="1" ht="19.2" customHeight="1">
      <c r="A1" s="16" t="inlineStr">
        <is>
          <t>BANK ALFAQ DIGITAL — APPROVED RISK SCORING &amp; TREATMENT RULES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Likelihood Score</t>
        </is>
      </c>
      <c r="B3" s="3" t="inlineStr">
        <is>
          <t>Descriptor</t>
        </is>
      </c>
      <c r="C3" s="3" t="inlineStr">
        <is>
          <t>Guidance</t>
        </is>
      </c>
      <c r="D3" s="2" t="n"/>
      <c r="E3" s="3" t="inlineStr">
        <is>
          <t>Impact Score</t>
        </is>
      </c>
      <c r="F3" s="3" t="inlineStr">
        <is>
          <t>Descriptor</t>
        </is>
      </c>
    </row>
    <row r="4">
      <c r="A4" s="2" t="n">
        <v>1</v>
      </c>
      <c r="B4" s="2" t="inlineStr">
        <is>
          <t>Remote / Rare</t>
        </is>
      </c>
      <c r="C4" s="2" t="inlineStr">
        <is>
          <t>Improbable under normal conditions; exceptional circumstances.</t>
        </is>
      </c>
      <c r="D4" s="2" t="n"/>
      <c r="E4" s="2" t="n">
        <v>1</v>
      </c>
      <c r="F4" s="2" t="inlineStr">
        <is>
          <t>Insignificant</t>
        </is>
      </c>
    </row>
    <row r="5">
      <c r="A5" s="2" t="n">
        <v>2</v>
      </c>
      <c r="B5" s="2" t="inlineStr">
        <is>
          <t>Unlikely</t>
        </is>
      </c>
      <c r="C5" s="2" t="inlineStr">
        <is>
          <t>Low chance; may occur in exceptional circumstances.</t>
        </is>
      </c>
      <c r="D5" s="2" t="n"/>
      <c r="E5" s="2" t="n">
        <v>2</v>
      </c>
      <c r="F5" s="2" t="inlineStr">
        <is>
          <t>Minor</t>
        </is>
      </c>
    </row>
    <row r="6">
      <c r="A6" s="2" t="n">
        <v>3</v>
      </c>
      <c r="B6" s="2" t="inlineStr">
        <is>
          <t>Possible</t>
        </is>
      </c>
      <c r="C6" s="2" t="inlineStr">
        <is>
          <t>Realistic possibility in the current environment.</t>
        </is>
      </c>
      <c r="D6" s="2" t="n"/>
      <c r="E6" s="2" t="n">
        <v>3</v>
      </c>
      <c r="F6" s="2" t="inlineStr">
        <is>
          <t>Moderate</t>
        </is>
      </c>
    </row>
    <row r="7">
      <c r="A7" s="2" t="n">
        <v>4</v>
      </c>
      <c r="B7" s="2" t="inlineStr">
        <is>
          <t>Probable / Likely</t>
        </is>
      </c>
      <c r="C7" s="2" t="inlineStr">
        <is>
          <t>More likely to occur; material exposure or prior occurrence.</t>
        </is>
      </c>
      <c r="D7" s="2" t="n"/>
      <c r="E7" s="2" t="n">
        <v>4</v>
      </c>
      <c r="F7" s="2" t="inlineStr">
        <is>
          <t>Major</t>
        </is>
      </c>
    </row>
    <row r="8" ht="27.6" customHeight="1">
      <c r="A8" s="2" t="n">
        <v>5</v>
      </c>
      <c r="B8" s="2" t="inlineStr">
        <is>
          <t>Highly Probable / Almost Certain</t>
        </is>
      </c>
      <c r="C8" s="2" t="inlineStr">
        <is>
          <t>Strong evidence, active threat or frequent occurrence.</t>
        </is>
      </c>
      <c r="D8" s="2" t="n"/>
      <c r="E8" s="2" t="n">
        <v>5</v>
      </c>
      <c r="F8" s="2" t="inlineStr">
        <is>
          <t>Catastrophic</t>
        </is>
      </c>
    </row>
    <row r="9">
      <c r="A9" s="2" t="n"/>
      <c r="B9" s="2" t="n"/>
      <c r="C9" s="2" t="n"/>
      <c r="D9" s="2" t="n"/>
      <c r="E9" s="2" t="n"/>
      <c r="F9" s="2" t="n"/>
    </row>
    <row r="10">
      <c r="A10" s="3" t="inlineStr">
        <is>
          <t>Risk Level</t>
        </is>
      </c>
      <c r="B10" s="3" t="inlineStr">
        <is>
          <t>Score Range</t>
        </is>
      </c>
      <c r="C10" s="3" t="inlineStr">
        <is>
          <t>Treatment / Acceptance Requirement</t>
        </is>
      </c>
      <c r="D10" s="2" t="n"/>
      <c r="E10" s="2" t="n"/>
      <c r="F10" s="2" t="n"/>
    </row>
    <row r="11">
      <c r="A11" s="2" t="inlineStr">
        <is>
          <t>Low</t>
        </is>
      </c>
      <c r="B11" s="2" t="inlineStr">
        <is>
          <t>1–4</t>
        </is>
      </c>
      <c r="C11" s="2" t="inlineStr">
        <is>
          <t>May be accepted with documented rationale and monitoring.</t>
        </is>
      </c>
      <c r="D11" s="2" t="n"/>
      <c r="E11" s="2" t="n"/>
      <c r="F11" s="2" t="n"/>
    </row>
    <row r="12" ht="27.6" customHeight="1">
      <c r="A12" s="2" t="inlineStr">
        <is>
          <t>Medium</t>
        </is>
      </c>
      <c r="B12" s="2" t="inlineStr">
        <is>
          <t>5–10</t>
        </is>
      </c>
      <c r="C12" s="2" t="inlineStr">
        <is>
          <t>Requires a documented treatment plan, named owner, target date and management approval where accepted.</t>
        </is>
      </c>
      <c r="D12" s="2" t="n"/>
      <c r="E12" s="2" t="n"/>
      <c r="F12" s="2" t="n"/>
    </row>
    <row r="13" ht="27.6" customHeight="1">
      <c r="A13" s="2" t="inlineStr">
        <is>
          <t>High</t>
        </is>
      </c>
      <c r="B13" s="2" t="inlineStr">
        <is>
          <t>11–15</t>
        </is>
      </c>
      <c r="C13" s="2" t="inlineStr">
        <is>
          <t>Requires formal treatment and governance oversight; residual acceptance requires senior management approval and justification.</t>
        </is>
      </c>
      <c r="D13" s="2" t="n"/>
      <c r="E13" s="2" t="n"/>
      <c r="F13" s="2" t="n"/>
    </row>
    <row r="14" ht="27.6" customHeight="1">
      <c r="A14" s="2" t="inlineStr">
        <is>
          <t>Critical</t>
        </is>
      </c>
      <c r="B14" s="2" t="inlineStr">
        <is>
          <t>16–25</t>
        </is>
      </c>
      <c r="C14" s="2" t="inlineStr">
        <is>
          <t>Outside normal appetite; immediate escalation and treatment required; executive approval for any temporary acceptance.</t>
        </is>
      </c>
      <c r="D14" s="2" t="n"/>
      <c r="E14" s="2" t="n"/>
      <c r="F14" s="2" t="n"/>
    </row>
    <row r="15">
      <c r="A15" s="2" t="inlineStr">
        <is>
          <t>Risk Acceptance Criteria (Bank Alafaq Digital)</t>
        </is>
      </c>
      <c r="B15" s="2" t="inlineStr">
        <is>
          <t>A risk may be recommended for acceptance when the score is 4 or less, when known changes mean the risk will exist for three months or less, or when agreed direct/indirect benefits outweigh the impact. Reasons must be documented.</t>
        </is>
      </c>
      <c r="C15" s="2" t="n"/>
      <c r="D15" s="2" t="n"/>
      <c r="E15" s="2" t="n"/>
      <c r="F15" s="2" t="n"/>
    </row>
    <row r="16">
      <c r="A16" s="3" t="inlineStr">
        <is>
          <t>Treatment Option</t>
        </is>
      </c>
      <c r="B16" s="3" t="inlineStr">
        <is>
          <t>Meaning</t>
        </is>
      </c>
      <c r="C16" s="2" t="n"/>
      <c r="D16" s="2" t="n"/>
      <c r="E16" s="2" t="n"/>
      <c r="F16" s="2" t="n"/>
    </row>
    <row r="17" ht="41.4" customHeight="1">
      <c r="A17" s="2" t="inlineStr">
        <is>
          <t>Accept</t>
        </is>
      </c>
      <c r="B17" s="2" t="inlineStr">
        <is>
          <t>Retain the risk with documented approval where permitted by appetite.</t>
        </is>
      </c>
      <c r="C17" s="2" t="n"/>
      <c r="D17" s="2" t="n"/>
      <c r="E17" s="2" t="n"/>
      <c r="F17" s="2" t="n"/>
    </row>
    <row r="18" ht="27.6" customHeight="1">
      <c r="A18" s="2" t="inlineStr">
        <is>
          <t>Avoid</t>
        </is>
      </c>
      <c r="B18" s="2" t="inlineStr">
        <is>
          <t>Stop/change the activity causing the risk.</t>
        </is>
      </c>
      <c r="C18" s="2" t="n"/>
      <c r="D18" s="2" t="n"/>
      <c r="E18" s="2" t="n"/>
      <c r="F18" s="2" t="n"/>
    </row>
    <row r="19" ht="27.6" customHeight="1">
      <c r="A19" s="2" t="inlineStr">
        <is>
          <t>Mitigate</t>
        </is>
      </c>
      <c r="B19" s="2" t="inlineStr">
        <is>
          <t>Reduce likelihood and/or impact using controls.</t>
        </is>
      </c>
      <c r="C19" s="2" t="n"/>
      <c r="D19" s="2" t="n"/>
      <c r="E19" s="2" t="n"/>
      <c r="F19" s="2" t="n"/>
    </row>
    <row r="20" ht="55.2" customHeight="1">
      <c r="A20" s="2" t="inlineStr">
        <is>
          <t>Transfer</t>
        </is>
      </c>
      <c r="B20" s="2" t="inlineStr">
        <is>
          <t>Shift/share financial or operational exposure through contract, insurance or supplier arrangements.</t>
        </is>
      </c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3" t="inlineStr">
        <is>
          <t>Key Rule</t>
        </is>
      </c>
      <c r="B22" s="3" t="inlineStr">
        <is>
          <t>Value</t>
        </is>
      </c>
      <c r="C22" s="2" t="n"/>
      <c r="D22" s="2" t="n"/>
      <c r="E22" s="2" t="n"/>
      <c r="F22" s="2" t="n"/>
    </row>
    <row r="23">
      <c r="A23" s="2" t="inlineStr">
        <is>
          <t>Current Risk Score</t>
        </is>
      </c>
      <c r="B23" s="2" t="inlineStr">
        <is>
          <t>Likelihood × Impact</t>
        </is>
      </c>
      <c r="C23" s="2" t="n"/>
      <c r="D23" s="2" t="n"/>
      <c r="E23" s="2" t="n"/>
      <c r="F23" s="2" t="n"/>
    </row>
    <row r="24" ht="41.4" customHeight="1">
      <c r="A24" s="2" t="inlineStr">
        <is>
          <t>Residual Risk</t>
        </is>
      </c>
      <c r="B24" s="2" t="inlineStr">
        <is>
          <t>Projected until treatment implementation is evidenced and validated.</t>
        </is>
      </c>
      <c r="C24" s="2" t="n"/>
      <c r="D24" s="2" t="n"/>
      <c r="E24" s="2" t="n"/>
      <c r="F24" s="2" t="n"/>
    </row>
    <row r="25" ht="55.2" customHeight="1">
      <c r="A25" s="2" t="inlineStr">
        <is>
          <t>Review Trigger</t>
        </is>
      </c>
      <c r="B25" s="2" t="inlineStr">
        <is>
          <t>At least annually and upon significant change, incident, control failure or missed treatment due date.</t>
        </is>
      </c>
      <c r="C25" s="2" t="n"/>
      <c r="D25" s="2" t="n"/>
      <c r="E25" s="2" t="n"/>
      <c r="F25" s="2" t="n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3.8"/>
  <cols>
    <col width="38" customWidth="1" min="1" max="1"/>
    <col width="55" customWidth="1" min="2" max="2"/>
    <col width="22" customWidth="1" min="3" max="3"/>
    <col width="55" customWidth="1" min="4" max="4"/>
  </cols>
  <sheetData>
    <row r="1" ht="19.2" customHeight="1">
      <c r="A1" s="17" t="inlineStr">
        <is>
          <t>BANK ALFAQ DIGITAL — SOURCE &amp; TRACEABILITY REGISTER</t>
        </is>
      </c>
    </row>
    <row r="3">
      <c r="A3" s="3" t="inlineStr">
        <is>
          <t>Bank Alafaq Digital Case Study / Risk Assessment Package</t>
        </is>
      </c>
      <c r="B3" s="3" t="inlineStr">
        <is>
          <t>Context, assets, threats, vulnerabilities, existing controls and assessment basis</t>
        </is>
      </c>
      <c r="C3" s="3" t="inlineStr">
        <is>
          <t>Primary source</t>
        </is>
      </c>
      <c r="D3" s="3" t="inlineStr">
        <is>
          <t>Supplied Bank Alafaq Digital package.</t>
        </is>
      </c>
    </row>
    <row r="4" ht="27.6" customHeight="1">
      <c r="A4" s="2" t="inlineStr">
        <is>
          <t>Bank Alafaq Digital Information Asset Inventory</t>
        </is>
      </c>
      <c r="B4" s="2" t="inlineStr">
        <is>
          <t>Asset names, owners, classification and scope cross-linking</t>
        </is>
      </c>
      <c r="C4" s="2" t="inlineStr">
        <is>
          <t>Supporting register</t>
        </is>
      </c>
      <c r="D4" s="2" t="inlineStr">
        <is>
          <t>Customer information is the populated asset in the supplied inventory; remaining asset references are mapped to the stated assessment scope.</t>
        </is>
      </c>
    </row>
    <row r="5" ht="27.6" customHeight="1">
      <c r="A5" s="2" t="inlineStr">
        <is>
          <t>REQUIRED-ISMS-FORM-06-1 Asset-Based Risk Tool</t>
        </is>
      </c>
      <c r="B5" s="2" t="inlineStr">
        <is>
          <t>5×5 risk assessment structure, treatment fields and control references</t>
        </is>
      </c>
      <c r="C5" s="2" t="inlineStr">
        <is>
          <t>Primary template</t>
        </is>
      </c>
      <c r="D5" s="2" t="inlineStr">
        <is>
          <t>Supplied CertiKit-based asset risk workbook.</t>
        </is>
      </c>
    </row>
    <row r="6" ht="27.6" customHeight="1">
      <c r="A6" s="2" t="inlineStr">
        <is>
          <t>REQUIRED1-ISMS-FORM-06-2 Statement of Applicability</t>
        </is>
      </c>
      <c r="B6" s="2" t="inlineStr">
        <is>
          <t>Annex A control applicability and implementation context</t>
        </is>
      </c>
      <c r="C6" s="2" t="inlineStr">
        <is>
          <t>Supporting ISMS record</t>
        </is>
      </c>
      <c r="D6" s="2" t="inlineStr">
        <is>
          <t>Supplied Bank Alafaq Digital SoA workbook.</t>
        </is>
      </c>
    </row>
    <row r="7">
      <c r="A7" s="2" t="inlineStr">
        <is>
          <t>ISO/IEC 27001:2022</t>
        </is>
      </c>
      <c r="B7" s="2" t="inlineStr">
        <is>
          <t>Clauses 6.1.2, 6.1.3 and 8.2/8.3</t>
        </is>
      </c>
      <c r="C7" s="2" t="inlineStr">
        <is>
          <t>Standard reference</t>
        </is>
      </c>
      <c r="D7" s="2" t="inlineStr">
        <is>
          <t>Risk assessment and treatment framework.</t>
        </is>
      </c>
    </row>
    <row r="8" ht="27.6" customHeight="1">
      <c r="A8" s="2" t="inlineStr">
        <is>
          <t>Information Asset Inventory – Final</t>
        </is>
      </c>
      <c r="B8" s="2" t="inlineStr">
        <is>
          <t>Asset reference cross-linking</t>
        </is>
      </c>
      <c r="C8" s="2" t="inlineStr">
        <is>
          <t>Supporting register</t>
        </is>
      </c>
      <c r="D8" s="2" t="inlineStr">
        <is>
          <t>Primary asset references are shown in the Risk Assessment sheet.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2026-09-14T00:36:23Z</dcterms:created>
  <dcterms:modified xmlns:dcterms="http://purl.org/dc/terms/" xmlns:xsi="http://www.w3.org/2001/XMLSchema-instance" xsi:type="dcterms:W3CDTF">2026-09-14T00:56:38Z</dcterms:modified>
  <cp:lastModifiedBy>Khalilalafif6@gmail.com</cp:lastModifiedBy>
</cp:coreProperties>
</file>